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20CBFC44-D06C-4A97-96CF-A927A325A2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TB Plan" sheetId="1" r:id="rId1"/>
    <sheet name="OTB Summary" sheetId="2" r:id="rId2"/>
    <sheet name="Exercise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2" i="2"/>
  <c r="I14" i="1"/>
  <c r="E14" i="1"/>
  <c r="D14" i="1"/>
  <c r="C14" i="1"/>
  <c r="B14" i="1"/>
  <c r="F13" i="1"/>
  <c r="J13" i="1" s="1"/>
  <c r="F12" i="1"/>
  <c r="J12" i="1" s="1"/>
  <c r="F11" i="1"/>
  <c r="J11" i="1" s="1"/>
  <c r="F10" i="1"/>
  <c r="J10" i="1" s="1"/>
  <c r="F9" i="1"/>
  <c r="J9" i="1" s="1"/>
  <c r="F8" i="1"/>
  <c r="J8" i="1" s="1"/>
  <c r="J7" i="1"/>
  <c r="F7" i="1"/>
  <c r="H7" i="1" s="1"/>
  <c r="F6" i="1"/>
  <c r="J6" i="1" s="1"/>
  <c r="F5" i="1"/>
  <c r="J5" i="1" s="1"/>
  <c r="F4" i="1"/>
  <c r="J4" i="1" s="1"/>
  <c r="F3" i="1"/>
  <c r="B3" i="2" s="1"/>
  <c r="J2" i="1"/>
  <c r="H2" i="1"/>
  <c r="F2" i="1"/>
  <c r="H13" i="1" l="1"/>
  <c r="H8" i="1"/>
  <c r="H3" i="1"/>
  <c r="B4" i="2" s="1"/>
  <c r="J3" i="1"/>
  <c r="B6" i="2" s="1"/>
  <c r="H9" i="1"/>
  <c r="H4" i="1"/>
  <c r="F14" i="1"/>
  <c r="H10" i="1"/>
  <c r="H5" i="1"/>
  <c r="H14" i="1" s="1"/>
  <c r="J14" i="1"/>
  <c r="H11" i="1"/>
  <c r="H6" i="1"/>
  <c r="H12" i="1"/>
</calcChain>
</file>

<file path=xl/sharedStrings.xml><?xml version="1.0" encoding="utf-8"?>
<sst xmlns="http://schemas.openxmlformats.org/spreadsheetml/2006/main" count="41" uniqueCount="41">
  <si>
    <t>Month</t>
  </si>
  <si>
    <t>Planned Sales (₹)</t>
  </si>
  <si>
    <t>Desired Closing Stock (₹)</t>
  </si>
  <si>
    <t>Opening Stock (₹)</t>
  </si>
  <si>
    <t>Committed Receipts (₹)</t>
  </si>
  <si>
    <t>OTB Retail (₹)</t>
  </si>
  <si>
    <t>Cost-to-Retail %</t>
  </si>
  <si>
    <t>OTB Cost (₹)</t>
  </si>
  <si>
    <t>Actual Orders (₹)</t>
  </si>
  <si>
    <t>Remaining OTB (₹)</t>
  </si>
  <si>
    <t>Action / Comment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</si>
  <si>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</si>
  <si>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</si>
  <si>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</si>
  <si>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</si>
  <si>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</si>
  <si>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</si>
  <si>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</si>
  <si>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</si>
  <si>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</si>
  <si>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</si>
  <si>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</si>
  <si>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</si>
  <si>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</si>
  <si>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Metric</t>
  </si>
  <si>
    <t>Value</t>
  </si>
  <si>
    <t>Annual Planned Sales</t>
  </si>
  <si>
    <t>Annual Retail OTB</t>
  </si>
  <si>
    <t>Annual OTB at Cost</t>
  </si>
  <si>
    <t>Actual Orders</t>
  </si>
  <si>
    <t>Remaining OTB</t>
  </si>
  <si>
    <t>Step</t>
  </si>
  <si>
    <t>Task</t>
  </si>
  <si>
    <t>Enter planned monthly sales.</t>
  </si>
  <si>
    <t>Enter desired closing stock.</t>
  </si>
  <si>
    <t>Enter opening stock and committed receipts.</t>
  </si>
  <si>
    <t>Review calculated OTB at retail.</t>
  </si>
  <si>
    <t>Adjust the Cost-to-Retail % assumption and observe OTB at cost.</t>
  </si>
  <si>
    <t>Enter actual orders.</t>
  </si>
  <si>
    <t>Review remaining OTB.</t>
  </si>
  <si>
    <t>Use Action / Comment to explain whether buying should accelerate, slow down or remain unchanged.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</si>
</sst>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6.2" x14ac:dyDescent="0.3"/>
  <cols>
    <col min="1" max="1" width="10" customWidth="1"/>
    <col min="2" max="2" width="18" customWidth="1"/>
    <col min="3" max="3" width="23" customWidth="1"/>
    <col min="4" max="4" width="18" customWidth="1"/>
    <col min="5" max="5" width="22" customWidth="1"/>
    <col min="6" max="6" width="18" customWidth="1"/>
    <col min="7" max="7" width="17" customWidth="1"/>
    <col min="8" max="8" width="16" customWidth="1"/>
    <col min="9" max="10" width="18" customWidth="1"/>
    <col min="11" max="11" width="3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>
        <v>0</v>
      </c>
      <c r="C2" s="3">
        <v>0</v>
      </c>
      <c r="D2" s="3">
        <v>0</v>
      </c>
      <c r="E2" s="3">
        <v>0</v>
      </c>
      <c r="F2" s="3">
        <f t="shared" ref="F2:F13" si="0">B2+C2-D2-E2</f>
        <v>0</v>
      </c>
      <c r="G2" s="4">
        <v>0.3</v>
      </c>
      <c r="H2" s="3">
        <f t="shared" ref="H2:H13" si="1">F2*G2</f>
        <v>0</v>
      </c>
      <c r="I2" s="3">
        <v>0</v>
      </c>
      <c r="J2" s="3">
        <f t="shared" ref="J2:J13" si="2">F2-I2</f>
        <v>0</v>
      </c>
      <c r="K2" s="2"/>
    </row>
    <row r="3" spans="1:11" x14ac:dyDescent="0.3">
      <c r="A3" s="2" t="s">
        <v>12</v>
      </c>
      <c r="B3" s="3">
        <v>0</v>
      </c>
      <c r="C3" s="3">
        <v>0</v>
      </c>
      <c r="D3" s="3">
        <v>0</v>
      </c>
      <c r="E3" s="3">
        <v>0</v>
      </c>
      <c r="F3" s="3">
        <f t="shared" si="0"/>
        <v>0</v>
      </c>
      <c r="G3" s="4">
        <v>0.3</v>
      </c>
      <c r="H3" s="3">
        <f t="shared" si="1"/>
        <v>0</v>
      </c>
      <c r="I3" s="3">
        <v>0</v>
      </c>
      <c r="J3" s="3">
        <f t="shared" si="2"/>
        <v>0</v>
      </c>
      <c r="K3" s="2"/>
    </row>
    <row r="4" spans="1:11" x14ac:dyDescent="0.3">
      <c r="A4" s="2" t="s">
        <v>13</v>
      </c>
      <c r="B4" s="3">
        <v>0</v>
      </c>
      <c r="C4" s="3">
        <v>0</v>
      </c>
      <c r="D4" s="3">
        <v>0</v>
      </c>
      <c r="E4" s="3">
        <v>0</v>
      </c>
      <c r="F4" s="3">
        <f t="shared" si="0"/>
        <v>0</v>
      </c>
      <c r="G4" s="4">
        <v>0.3</v>
      </c>
      <c r="H4" s="3">
        <f t="shared" si="1"/>
        <v>0</v>
      </c>
      <c r="I4" s="3">
        <v>0</v>
      </c>
      <c r="J4" s="3">
        <f t="shared" si="2"/>
        <v>0</v>
      </c>
      <c r="K4" s="2"/>
    </row>
    <row r="5" spans="1:11" x14ac:dyDescent="0.3">
      <c r="A5" s="2" t="s">
        <v>14</v>
      </c>
      <c r="B5" s="3">
        <v>0</v>
      </c>
      <c r="C5" s="3">
        <v>0</v>
      </c>
      <c r="D5" s="3">
        <v>0</v>
      </c>
      <c r="E5" s="3">
        <v>0</v>
      </c>
      <c r="F5" s="3">
        <f t="shared" si="0"/>
        <v>0</v>
      </c>
      <c r="G5" s="4">
        <v>0.3</v>
      </c>
      <c r="H5" s="3">
        <f t="shared" si="1"/>
        <v>0</v>
      </c>
      <c r="I5" s="3">
        <v>0</v>
      </c>
      <c r="J5" s="3">
        <f t="shared" si="2"/>
        <v>0</v>
      </c>
      <c r="K5" s="2"/>
    </row>
    <row r="6" spans="1:11" x14ac:dyDescent="0.3">
      <c r="A6" s="2" t="s">
        <v>15</v>
      </c>
      <c r="B6" s="3">
        <v>0</v>
      </c>
      <c r="C6" s="3">
        <v>0</v>
      </c>
      <c r="D6" s="3">
        <v>0</v>
      </c>
      <c r="E6" s="3">
        <v>0</v>
      </c>
      <c r="F6" s="3">
        <f t="shared" si="0"/>
        <v>0</v>
      </c>
      <c r="G6" s="4">
        <v>0.3</v>
      </c>
      <c r="H6" s="3">
        <f t="shared" si="1"/>
        <v>0</v>
      </c>
      <c r="I6" s="3">
        <v>0</v>
      </c>
      <c r="J6" s="3">
        <f t="shared" si="2"/>
        <v>0</v>
      </c>
      <c r="K6" s="2"/>
    </row>
    <row r="7" spans="1:11" x14ac:dyDescent="0.3">
      <c r="A7" s="2" t="s">
        <v>16</v>
      </c>
      <c r="B7" s="3">
        <v>0</v>
      </c>
      <c r="C7" s="3">
        <v>0</v>
      </c>
      <c r="D7" s="3">
        <v>0</v>
      </c>
      <c r="E7" s="3">
        <v>0</v>
      </c>
      <c r="F7" s="3">
        <f t="shared" si="0"/>
        <v>0</v>
      </c>
      <c r="G7" s="4">
        <v>0.3</v>
      </c>
      <c r="H7" s="3">
        <f t="shared" si="1"/>
        <v>0</v>
      </c>
      <c r="I7" s="3">
        <v>0</v>
      </c>
      <c r="J7" s="3">
        <f t="shared" si="2"/>
        <v>0</v>
      </c>
      <c r="K7" s="2"/>
    </row>
    <row r="8" spans="1:11" x14ac:dyDescent="0.3">
      <c r="A8" s="2" t="s">
        <v>17</v>
      </c>
      <c r="B8" s="3">
        <v>0</v>
      </c>
      <c r="C8" s="3">
        <v>0</v>
      </c>
      <c r="D8" s="3">
        <v>0</v>
      </c>
      <c r="E8" s="3">
        <v>0</v>
      </c>
      <c r="F8" s="3">
        <f t="shared" si="0"/>
        <v>0</v>
      </c>
      <c r="G8" s="4">
        <v>0.3</v>
      </c>
      <c r="H8" s="3">
        <f t="shared" si="1"/>
        <v>0</v>
      </c>
      <c r="I8" s="3">
        <v>0</v>
      </c>
      <c r="J8" s="3">
        <f t="shared" si="2"/>
        <v>0</v>
      </c>
      <c r="K8" s="2"/>
    </row>
    <row r="9" spans="1:11" x14ac:dyDescent="0.3">
      <c r="A9" s="2" t="s">
        <v>18</v>
      </c>
      <c r="B9" s="3">
        <v>0</v>
      </c>
      <c r="C9" s="3">
        <v>0</v>
      </c>
      <c r="D9" s="3">
        <v>0</v>
      </c>
      <c r="E9" s="3">
        <v>0</v>
      </c>
      <c r="F9" s="3">
        <f t="shared" si="0"/>
        <v>0</v>
      </c>
      <c r="G9" s="4">
        <v>0.3</v>
      </c>
      <c r="H9" s="3">
        <f t="shared" si="1"/>
        <v>0</v>
      </c>
      <c r="I9" s="3">
        <v>0</v>
      </c>
      <c r="J9" s="3">
        <f t="shared" si="2"/>
        <v>0</v>
      </c>
      <c r="K9" s="2"/>
    </row>
    <row r="10" spans="1:11" x14ac:dyDescent="0.3">
      <c r="A10" s="2" t="s">
        <v>19</v>
      </c>
      <c r="B10" s="3">
        <v>0</v>
      </c>
      <c r="C10" s="3">
        <v>0</v>
      </c>
      <c r="D10" s="3">
        <v>0</v>
      </c>
      <c r="E10" s="3">
        <v>0</v>
      </c>
      <c r="F10" s="3">
        <f t="shared" si="0"/>
        <v>0</v>
      </c>
      <c r="G10" s="4">
        <v>0.3</v>
      </c>
      <c r="H10" s="3">
        <f t="shared" si="1"/>
        <v>0</v>
      </c>
      <c r="I10" s="3">
        <v>0</v>
      </c>
      <c r="J10" s="3">
        <f t="shared" si="2"/>
        <v>0</v>
      </c>
      <c r="K10" s="2"/>
    </row>
    <row r="11" spans="1:11" x14ac:dyDescent="0.3">
      <c r="A11" s="2" t="s">
        <v>20</v>
      </c>
      <c r="B11" s="3">
        <v>0</v>
      </c>
      <c r="C11" s="3">
        <v>0</v>
      </c>
      <c r="D11" s="3">
        <v>0</v>
      </c>
      <c r="E11" s="3">
        <v>0</v>
      </c>
      <c r="F11" s="3">
        <f t="shared" si="0"/>
        <v>0</v>
      </c>
      <c r="G11" s="4">
        <v>0.3</v>
      </c>
      <c r="H11" s="3">
        <f t="shared" si="1"/>
        <v>0</v>
      </c>
      <c r="I11" s="3">
        <v>0</v>
      </c>
      <c r="J11" s="3">
        <f t="shared" si="2"/>
        <v>0</v>
      </c>
      <c r="K11" s="2"/>
    </row>
    <row r="12" spans="1:11" x14ac:dyDescent="0.3">
      <c r="A12" s="2" t="s">
        <v>21</v>
      </c>
      <c r="B12" s="3">
        <v>0</v>
      </c>
      <c r="C12" s="3">
        <v>0</v>
      </c>
      <c r="D12" s="3">
        <v>0</v>
      </c>
      <c r="E12" s="3">
        <v>0</v>
      </c>
      <c r="F12" s="3">
        <f t="shared" si="0"/>
        <v>0</v>
      </c>
      <c r="G12" s="4">
        <v>0.3</v>
      </c>
      <c r="H12" s="3">
        <f t="shared" si="1"/>
        <v>0</v>
      </c>
      <c r="I12" s="3">
        <v>0</v>
      </c>
      <c r="J12" s="3">
        <f t="shared" si="2"/>
        <v>0</v>
      </c>
      <c r="K12" s="2"/>
    </row>
    <row r="13" spans="1:11" x14ac:dyDescent="0.3">
      <c r="A13" s="2" t="s">
        <v>22</v>
      </c>
      <c r="B13" s="3">
        <v>0</v>
      </c>
      <c r="C13" s="3">
        <v>0</v>
      </c>
      <c r="D13" s="3">
        <v>0</v>
      </c>
      <c r="E13" s="3">
        <v>0</v>
      </c>
      <c r="F13" s="3">
        <f t="shared" si="0"/>
        <v>0</v>
      </c>
      <c r="G13" s="4">
        <v>0.3</v>
      </c>
      <c r="H13" s="3">
        <f t="shared" si="1"/>
        <v>0</v>
      </c>
      <c r="I13" s="3">
        <v>0</v>
      </c>
      <c r="J13" s="3">
        <f t="shared" si="2"/>
        <v>0</v>
      </c>
      <c r="K13" s="2"/>
    </row>
    <row r="14" spans="1:11" x14ac:dyDescent="0.3">
      <c r="A14" s="5" t="s">
        <v>23</v>
      </c>
      <c r="B14" s="3">
        <f>SUM(B2:B13)</f>
        <v>0</v>
      </c>
      <c r="C14" s="3">
        <f>SUM(C2:C13)</f>
        <v>0</v>
      </c>
      <c r="D14" s="3">
        <f>SUM(D2:D13)</f>
        <v>0</v>
      </c>
      <c r="E14" s="3">
        <f>SUM(E2:E13)</f>
        <v>0</v>
      </c>
      <c r="F14" s="3">
        <f>SUM(F2:F13)</f>
        <v>0</v>
      </c>
      <c r="G14" s="2"/>
      <c r="H14" s="3">
        <f>SUM(H2:H13)</f>
        <v>0</v>
      </c>
      <c r="I14" s="3">
        <f>SUM(I2:I13)</f>
        <v>0</v>
      </c>
      <c r="J14" s="3">
        <f>SUM(J2:J13)</f>
        <v>0</v>
      </c>
      <c r="K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6.2" x14ac:dyDescent="0.3"/>
  <cols>
    <col min="1" max="1" width="30" customWidth="1"/>
    <col min="2" max="2" width="20" customWidth="1"/>
  </cols>
  <sheetData>
    <row r="1" spans="1:2" x14ac:dyDescent="0.3">
      <c r="A1" s="1" t="s">
        <v>24</v>
      </c>
      <c r="B1" s="1" t="s">
        <v>25</v>
      </c>
    </row>
    <row r="2" spans="1:2" x14ac:dyDescent="0.3">
      <c r="A2" s="2" t="s">
        <v>26</v>
      </c>
      <c r="B2" s="3">
        <f>SUM('OTB Plan'!B2:B13)</f>
        <v>0</v>
      </c>
    </row>
    <row r="3" spans="1:2" x14ac:dyDescent="0.3">
      <c r="A3" s="2" t="s">
        <v>27</v>
      </c>
      <c r="B3" s="3">
        <f>SUM('OTB Plan'!F2:F13)</f>
        <v>0</v>
      </c>
    </row>
    <row r="4" spans="1:2" x14ac:dyDescent="0.3">
      <c r="A4" s="2" t="s">
        <v>28</v>
      </c>
      <c r="B4" s="3">
        <f>SUM('OTB Plan'!H2:H13)</f>
        <v>0</v>
      </c>
    </row>
    <row r="5" spans="1:2" x14ac:dyDescent="0.3">
      <c r="A5" s="2" t="s">
        <v>29</v>
      </c>
      <c r="B5" s="3">
        <f>SUM('OTB Plan'!I2:I13)</f>
        <v>0</v>
      </c>
    </row>
    <row r="6" spans="1:2" x14ac:dyDescent="0.3">
      <c r="A6" s="2" t="s">
        <v>30</v>
      </c>
      <c r="B6" s="3">
        <f>SUM('OTB Plan'!J2:J13)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6.2" x14ac:dyDescent="0.3"/>
  <cols>
    <col min="1" max="1" width="10" customWidth="1"/>
    <col min="2" max="2" width="90" customWidth="1"/>
  </cols>
  <sheetData>
    <row r="1" spans="1:2" x14ac:dyDescent="0.3">
      <c r="A1" s="1" t="s">
        <v>31</v>
      </c>
      <c r="B1" s="1" t="s">
        <v>32</v>
      </c>
    </row>
    <row r="2" spans="1:2" x14ac:dyDescent="0.3">
      <c r="A2" s="2">
        <v>1</v>
      </c>
      <c r="B2" s="2" t="s">
        <v>33</v>
      </c>
    </row>
    <row r="3" spans="1:2" x14ac:dyDescent="0.3">
      <c r="A3" s="2">
        <v>2</v>
      </c>
      <c r="B3" s="2" t="s">
        <v>34</v>
      </c>
    </row>
    <row r="4" spans="1:2" x14ac:dyDescent="0.3">
      <c r="A4" s="2">
        <v>3</v>
      </c>
      <c r="B4" s="2" t="s">
        <v>35</v>
      </c>
    </row>
    <row r="5" spans="1:2" x14ac:dyDescent="0.3">
      <c r="A5" s="2">
        <v>4</v>
      </c>
      <c r="B5" s="2" t="s">
        <v>36</v>
      </c>
    </row>
    <row r="6" spans="1:2" x14ac:dyDescent="0.3">
      <c r="A6" s="2">
        <v>5</v>
      </c>
      <c r="B6" s="2" t="s">
        <v>37</v>
      </c>
    </row>
    <row r="7" spans="1:2" x14ac:dyDescent="0.3">
      <c r="A7" s="2">
        <v>6</v>
      </c>
      <c r="B7" s="2" t="s">
        <v>38</v>
      </c>
    </row>
    <row r="8" spans="1:2" x14ac:dyDescent="0.3">
      <c r="A8" s="2">
        <v>7</v>
      </c>
      <c r="B8" s="2" t="s">
        <v>39</v>
      </c>
    </row>
    <row r="9" spans="1:2" x14ac:dyDescent="0.3">
      <c r="A9" s="2">
        <v>8</v>
      </c>
      <c r="B9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OTB Plan</vt:lpstr>
      <vt:lpstr>OTB Summary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2026-09-22T10:02:12Z</dcterms:created>
  <dcterms:modified xsi:type="dcterms:W3CDTF">2026-09-22T10:09:06Z</dcterms:modified>
</cp:coreProperties>
</file>