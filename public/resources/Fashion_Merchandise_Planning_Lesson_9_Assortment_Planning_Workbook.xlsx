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HI TANDON\Desktop\R\website\"/>
    </mc:Choice>
  </mc:AlternateContent>
  <xr:revisionPtr revIDLastSave="0" documentId="8_{4BCAF13E-DBC9-40BC-A48B-81F9DED981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ssortment" sheetId="1" r:id="rId1"/>
    <sheet name="Size Curve" sheetId="2" r:id="rId2"/>
    <sheet name="Summary" sheetId="3" r:id="rId3"/>
    <sheet name="Exercise Gui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3" i="3"/>
  <c r="B2" i="3"/>
  <c r="B8" i="2"/>
  <c r="K6" i="1"/>
  <c r="J6" i="1"/>
  <c r="K5" i="1"/>
  <c r="J5" i="1"/>
  <c r="K4" i="1"/>
  <c r="J4" i="1"/>
  <c r="K3" i="1"/>
  <c r="J3" i="1"/>
  <c r="K2" i="1"/>
  <c r="B4" i="3" s="1"/>
  <c r="J2" i="1"/>
</calcChain>
</file>

<file path=xl/sharedStrings.xml><?xml version="1.0" encoding="utf-8"?>
<sst xmlns="http://schemas.openxmlformats.org/spreadsheetml/2006/main" count="68" uniqueCount="58">
  <si>
    <t>Category</t>
  </si>
  <si>
    <t>Sub-category</t>
  </si>
  <si>
    <t>Product / Option</t>
  </si>
  <si>
    <t>Role</t>
  </si>
  <si>
    <t>Colour</t>
  </si>
  <si>
    <t>Size</t>
  </si>
  <si>
    <t>Price (₹)</t>
  </si>
  <si>
    <t>Planned Options</t>
  </si>
  <si>
    <t>Planned Units</t>
  </si>
  <si>
    <t>Units / Option</t>
  </si>
  <si>
    <t>Sales Plan (₹)</t>
  </si>
  <si>
    <t>Action / Comment</t>
  </si>
  <si>
    <t>Shirts</t>
  </si>
  <si>
    <t>Formal</t>
  </si>
  <si>
    <t>Option 1</t>
  </si>
  <si>
    <t>Core</t>
  </si>
  <si>
    <t>White</t>
  </si>
  <si>
    <t>M</t>
  </si>
  <si>
    <t>Casual</t>
  </si>
  <si>
    <t>Option 2</t>
  </si>
  <si>
    <t>Fashion</t>
  </si>
  <si>
    <t>Blue</t>
  </si>
  <si>
    <t>L</t>
  </si>
  <si>
    <t>Polos</t>
  </si>
  <si>
    <t>Solid</t>
  </si>
  <si>
    <t>Option 3</t>
  </si>
  <si>
    <t>Navy</t>
  </si>
  <si>
    <t>T-shirts</t>
  </si>
  <si>
    <t>Graphic</t>
  </si>
  <si>
    <t>Option 4</t>
  </si>
  <si>
    <t>Black</t>
  </si>
  <si>
    <t>Denim</t>
  </si>
  <si>
    <t>Straight</t>
  </si>
  <si>
    <t>Option 5</t>
  </si>
  <si>
    <t>Indigo</t>
  </si>
  <si>
    <t>32</t>
  </si>
  <si>
    <t>Planned %</t>
  </si>
  <si>
    <t>XS</t>
  </si>
  <si>
    <t>S</t>
  </si>
  <si>
    <t>XL</t>
  </si>
  <si>
    <t>XXL</t>
  </si>
  <si>
    <t>TOTAL</t>
  </si>
  <si>
    <t>Metric</t>
  </si>
  <si>
    <t>Value</t>
  </si>
  <si>
    <t>Total Planned Options</t>
  </si>
  <si>
    <t>Total Planned Units</t>
  </si>
  <si>
    <t>Total Sales Plan</t>
  </si>
  <si>
    <t>Average Units / Option</t>
  </si>
  <si>
    <t>Step</t>
  </si>
  <si>
    <t>Task</t>
  </si>
  <si>
    <t>Choose a category and define its role: core, fashion or seasonal.</t>
  </si>
  <si>
    <t>Enter sub-category and product options.</t>
  </si>
  <si>
    <t>Enter colour and size information.</t>
  </si>
  <si>
    <t>Enter price and planned units.</t>
  </si>
  <si>
    <t>Review units per option to assess depth.</t>
  </si>
  <si>
    <t>Use the Size Curve sheet to create a size distribution.</t>
  </si>
  <si>
    <t>Review the Summary sheet.</t>
  </si>
  <si>
    <t>Write one action for an assortment that appears too broad or too deep.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</si>
</sst>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10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  <xf numFmtId="3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6.2" x14ac:dyDescent="0.3"/>
  <cols>
    <col min="1" max="1" width="15" customWidth="1"/>
    <col min="2" max="2" width="16" customWidth="1"/>
    <col min="3" max="3" width="18" customWidth="1"/>
    <col min="4" max="5" width="12" customWidth="1"/>
    <col min="6" max="6" width="10" customWidth="1"/>
    <col min="7" max="7" width="13" customWidth="1"/>
    <col min="8" max="10" width="16" customWidth="1"/>
    <col min="11" max="11" width="18" customWidth="1"/>
    <col min="12" max="12" width="32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3000</v>
      </c>
      <c r="H2" s="2">
        <v>1</v>
      </c>
      <c r="I2" s="2">
        <v>2000</v>
      </c>
      <c r="J2" s="2">
        <f>IF(H2=0,"",I2/H2)</f>
        <v>2000</v>
      </c>
      <c r="K2" s="3">
        <f>I2*G2</f>
        <v>6000000</v>
      </c>
      <c r="L2" s="2"/>
    </row>
    <row r="3" spans="1:12" x14ac:dyDescent="0.3">
      <c r="A3" s="2" t="s">
        <v>12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3500</v>
      </c>
      <c r="H3" s="2">
        <v>1</v>
      </c>
      <c r="I3" s="2">
        <v>1500</v>
      </c>
      <c r="J3" s="2">
        <f>IF(H3=0,"",I3/H3)</f>
        <v>1500</v>
      </c>
      <c r="K3" s="3">
        <f>I3*G3</f>
        <v>5250000</v>
      </c>
      <c r="L3" s="2"/>
    </row>
    <row r="4" spans="1:12" x14ac:dyDescent="0.3">
      <c r="A4" s="2" t="s">
        <v>23</v>
      </c>
      <c r="B4" s="2" t="s">
        <v>24</v>
      </c>
      <c r="C4" s="2" t="s">
        <v>25</v>
      </c>
      <c r="D4" s="2" t="s">
        <v>15</v>
      </c>
      <c r="E4" s="2" t="s">
        <v>26</v>
      </c>
      <c r="F4" s="2" t="s">
        <v>17</v>
      </c>
      <c r="G4" s="2">
        <v>2500</v>
      </c>
      <c r="H4" s="2">
        <v>1</v>
      </c>
      <c r="I4" s="2">
        <v>1800</v>
      </c>
      <c r="J4" s="2">
        <f>IF(H4=0,"",I4/H4)</f>
        <v>1800</v>
      </c>
      <c r="K4" s="3">
        <f>I4*G4</f>
        <v>4500000</v>
      </c>
      <c r="L4" s="2"/>
    </row>
    <row r="5" spans="1:12" x14ac:dyDescent="0.3">
      <c r="A5" s="2" t="s">
        <v>27</v>
      </c>
      <c r="B5" s="2" t="s">
        <v>28</v>
      </c>
      <c r="C5" s="2" t="s">
        <v>29</v>
      </c>
      <c r="D5" s="2" t="s">
        <v>20</v>
      </c>
      <c r="E5" s="2" t="s">
        <v>30</v>
      </c>
      <c r="F5" s="2" t="s">
        <v>22</v>
      </c>
      <c r="G5" s="2">
        <v>1500</v>
      </c>
      <c r="H5" s="2">
        <v>1</v>
      </c>
      <c r="I5" s="2">
        <v>1200</v>
      </c>
      <c r="J5" s="2">
        <f>IF(H5=0,"",I5/H5)</f>
        <v>1200</v>
      </c>
      <c r="K5" s="3">
        <f>I5*G5</f>
        <v>1800000</v>
      </c>
      <c r="L5" s="2"/>
    </row>
    <row r="6" spans="1:12" x14ac:dyDescent="0.3">
      <c r="A6" s="2" t="s">
        <v>31</v>
      </c>
      <c r="B6" s="2" t="s">
        <v>32</v>
      </c>
      <c r="C6" s="2" t="s">
        <v>33</v>
      </c>
      <c r="D6" s="2" t="s">
        <v>15</v>
      </c>
      <c r="E6" s="2" t="s">
        <v>34</v>
      </c>
      <c r="F6" s="2" t="s">
        <v>35</v>
      </c>
      <c r="G6" s="2">
        <v>6000</v>
      </c>
      <c r="H6" s="2">
        <v>1</v>
      </c>
      <c r="I6" s="2">
        <v>900</v>
      </c>
      <c r="J6" s="2">
        <f>IF(H6=0,"",I6/H6)</f>
        <v>900</v>
      </c>
      <c r="K6" s="3">
        <f>I6*G6</f>
        <v>5400000</v>
      </c>
      <c r="L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6.2" x14ac:dyDescent="0.3"/>
  <sheetData>
    <row r="1" spans="1:3" ht="32.4" x14ac:dyDescent="0.3">
      <c r="A1" s="1" t="s">
        <v>5</v>
      </c>
      <c r="B1" s="1" t="s">
        <v>36</v>
      </c>
      <c r="C1" s="1" t="s">
        <v>8</v>
      </c>
    </row>
    <row r="2" spans="1:3" x14ac:dyDescent="0.3">
      <c r="A2" s="2" t="s">
        <v>37</v>
      </c>
      <c r="B2" s="4">
        <v>0.05</v>
      </c>
      <c r="C2" s="2">
        <v>0</v>
      </c>
    </row>
    <row r="3" spans="1:3" x14ac:dyDescent="0.3">
      <c r="A3" s="2" t="s">
        <v>38</v>
      </c>
      <c r="B3" s="4">
        <v>0.15</v>
      </c>
      <c r="C3" s="2">
        <v>0</v>
      </c>
    </row>
    <row r="4" spans="1:3" x14ac:dyDescent="0.3">
      <c r="A4" s="2" t="s">
        <v>17</v>
      </c>
      <c r="B4" s="4">
        <v>0.3</v>
      </c>
      <c r="C4" s="2">
        <v>0</v>
      </c>
    </row>
    <row r="5" spans="1:3" x14ac:dyDescent="0.3">
      <c r="A5" s="2" t="s">
        <v>22</v>
      </c>
      <c r="B5" s="4">
        <v>0.3</v>
      </c>
      <c r="C5" s="2">
        <v>0</v>
      </c>
    </row>
    <row r="6" spans="1:3" x14ac:dyDescent="0.3">
      <c r="A6" s="2" t="s">
        <v>39</v>
      </c>
      <c r="B6" s="4">
        <v>0.15</v>
      </c>
      <c r="C6" s="2">
        <v>0</v>
      </c>
    </row>
    <row r="7" spans="1:3" x14ac:dyDescent="0.3">
      <c r="A7" s="2" t="s">
        <v>40</v>
      </c>
      <c r="B7" s="4">
        <v>0.05</v>
      </c>
      <c r="C7" s="2">
        <v>0</v>
      </c>
    </row>
    <row r="8" spans="1:3" x14ac:dyDescent="0.3">
      <c r="A8" s="5" t="s">
        <v>41</v>
      </c>
      <c r="B8" s="4">
        <f>SUM(B2:B7)</f>
        <v>1</v>
      </c>
      <c r="C8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6.2" x14ac:dyDescent="0.3"/>
  <sheetData>
    <row r="1" spans="1:2" x14ac:dyDescent="0.3">
      <c r="A1" s="1" t="s">
        <v>42</v>
      </c>
      <c r="B1" s="1" t="s">
        <v>43</v>
      </c>
    </row>
    <row r="2" spans="1:2" ht="48.6" x14ac:dyDescent="0.3">
      <c r="A2" s="2" t="s">
        <v>44</v>
      </c>
      <c r="B2" s="2">
        <f>SUM(Assortment!H2:H6)</f>
        <v>5</v>
      </c>
    </row>
    <row r="3" spans="1:2" ht="48.6" x14ac:dyDescent="0.3">
      <c r="A3" s="2" t="s">
        <v>45</v>
      </c>
      <c r="B3" s="2">
        <f>SUM(Assortment!I2:I6)</f>
        <v>7400</v>
      </c>
    </row>
    <row r="4" spans="1:2" ht="48.6" x14ac:dyDescent="0.3">
      <c r="A4" s="2" t="s">
        <v>46</v>
      </c>
      <c r="B4" s="3">
        <f>SUM(Assortment!K2:K6)</f>
        <v>22950000</v>
      </c>
    </row>
    <row r="5" spans="1:2" ht="48.6" x14ac:dyDescent="0.3">
      <c r="A5" s="2" t="s">
        <v>47</v>
      </c>
      <c r="B5" s="6">
        <f>IFERROR(AVERAGE(Assortment!J2:J6),0)</f>
        <v>1480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6.2" x14ac:dyDescent="0.3"/>
  <cols>
    <col min="1" max="1" width="10" customWidth="1"/>
    <col min="2" max="2" width="90" customWidth="1"/>
  </cols>
  <sheetData>
    <row r="1" spans="1:2" x14ac:dyDescent="0.3">
      <c r="A1" s="1" t="s">
        <v>48</v>
      </c>
      <c r="B1" s="1" t="s">
        <v>49</v>
      </c>
    </row>
    <row r="2" spans="1:2" x14ac:dyDescent="0.3">
      <c r="A2" s="2">
        <v>1</v>
      </c>
      <c r="B2" s="2" t="s">
        <v>50</v>
      </c>
    </row>
    <row r="3" spans="1:2" x14ac:dyDescent="0.3">
      <c r="A3" s="2">
        <v>2</v>
      </c>
      <c r="B3" s="2" t="s">
        <v>51</v>
      </c>
    </row>
    <row r="4" spans="1:2" x14ac:dyDescent="0.3">
      <c r="A4" s="2">
        <v>3</v>
      </c>
      <c r="B4" s="2" t="s">
        <v>52</v>
      </c>
    </row>
    <row r="5" spans="1:2" x14ac:dyDescent="0.3">
      <c r="A5" s="2">
        <v>4</v>
      </c>
      <c r="B5" s="2" t="s">
        <v>53</v>
      </c>
    </row>
    <row r="6" spans="1:2" x14ac:dyDescent="0.3">
      <c r="A6" s="2">
        <v>5</v>
      </c>
      <c r="B6" s="2" t="s">
        <v>54</v>
      </c>
    </row>
    <row r="7" spans="1:2" x14ac:dyDescent="0.3">
      <c r="A7" s="2">
        <v>6</v>
      </c>
      <c r="B7" s="2" t="s">
        <v>55</v>
      </c>
    </row>
    <row r="8" spans="1:2" x14ac:dyDescent="0.3">
      <c r="A8" s="2">
        <v>7</v>
      </c>
      <c r="B8" s="2" t="s">
        <v>56</v>
      </c>
    </row>
    <row r="9" spans="1:2" x14ac:dyDescent="0.3">
      <c r="A9" s="2">
        <v>8</v>
      </c>
      <c r="B9" s="2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Assortment</vt:lpstr>
      <vt:lpstr>Size Curve</vt:lpstr>
      <vt:lpstr>Summary</vt:lpstr>
      <vt:lpstr>Exercise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TANDON</cp:lastModifiedBy>
  <dcterms:created xsi:type="dcterms:W3CDTF">2026-09-22T10:24:31Z</dcterms:created>
  <dcterms:modified xsi:type="dcterms:W3CDTF">2026-09-22T10:25:33Z</dcterms:modified>
</cp:coreProperties>
</file>