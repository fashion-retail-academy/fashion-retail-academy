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2EAFBF93-0F61-407D-98FB-00872C3C1B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FP Practice" sheetId="1" r:id="rId1"/>
    <sheet name="Exercise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B34" i="1"/>
  <c r="C33" i="1"/>
  <c r="C32" i="1"/>
  <c r="C31" i="1"/>
  <c r="C30" i="1"/>
  <c r="C29" i="1"/>
  <c r="C28" i="1"/>
  <c r="C27" i="1"/>
  <c r="C26" i="1"/>
  <c r="C25" i="1"/>
  <c r="C24" i="1"/>
  <c r="C23" i="1"/>
  <c r="D23" i="1" s="1"/>
  <c r="E23" i="1" s="1"/>
  <c r="C22" i="1"/>
  <c r="B17" i="1"/>
  <c r="B16" i="1"/>
  <c r="B15" i="1"/>
  <c r="B14" i="1"/>
  <c r="B13" i="1"/>
  <c r="B18" i="1" s="1"/>
  <c r="E24" i="1" l="1"/>
  <c r="E25" i="1"/>
  <c r="E26" i="1"/>
  <c r="E28" i="1"/>
  <c r="E29" i="1"/>
  <c r="D24" i="1"/>
  <c r="D30" i="1"/>
  <c r="E30" i="1" s="1"/>
  <c r="D25" i="1"/>
  <c r="D31" i="1"/>
  <c r="E31" i="1" s="1"/>
  <c r="D26" i="1"/>
  <c r="D32" i="1"/>
  <c r="E32" i="1" s="1"/>
  <c r="D27" i="1"/>
  <c r="E27" i="1" s="1"/>
  <c r="D22" i="1"/>
  <c r="D33" i="1"/>
  <c r="E33" i="1" s="1"/>
  <c r="D28" i="1"/>
  <c r="D29" i="1"/>
  <c r="D34" i="1" l="1"/>
  <c r="E22" i="1"/>
  <c r="E34" i="1" s="1"/>
</calcChain>
</file>

<file path=xl/sharedStrings.xml><?xml version="1.0" encoding="utf-8"?>
<sst xmlns="http://schemas.openxmlformats.org/spreadsheetml/2006/main" count="58" uniqueCount="58">
  <si>
    <t>FASHION RETAIL ACADEMY</t>
  </si>
  <si>
    <t>Lesson 2 — Merchandise Financial Planning (MFP)</t>
  </si>
  <si>
    <t>Key Input</t>
  </si>
  <si>
    <t>Value</t>
  </si>
  <si>
    <t>Purpose</t>
  </si>
  <si>
    <t>Annual Sales Target (₹)</t>
  </si>
  <si>
    <t>Example: ₹10 Cr</t>
  </si>
  <si>
    <t>Annual Growth %</t>
  </si>
  <si>
    <t>Growth assumption</t>
  </si>
  <si>
    <t>Gross Margin %</t>
  </si>
  <si>
    <t>Target gross margin</t>
  </si>
  <si>
    <t>Markdown % of Sales</t>
  </si>
  <si>
    <t>Illustrative markdown impact</t>
  </si>
  <si>
    <t>Opening Inventory at Cost (₹)</t>
  </si>
  <si>
    <t>Beginning inventory</t>
  </si>
  <si>
    <t>Closing Inventory at Cost (₹)</t>
  </si>
  <si>
    <t>Target ending inventory</t>
  </si>
  <si>
    <t>MFP Calculation</t>
  </si>
  <si>
    <t>Result</t>
  </si>
  <si>
    <t>Formula</t>
  </si>
  <si>
    <t>Base Year Sales (₹)</t>
  </si>
  <si>
    <t>Planned Sales ÷ (1 + Growth)</t>
  </si>
  <si>
    <t>Planned Gross Margin (₹)</t>
  </si>
  <si>
    <t>Sales × Gross Margin %</t>
  </si>
  <si>
    <t>Planned COGS (₹)</t>
  </si>
  <si>
    <t>Sales − Gross Margin</t>
  </si>
  <si>
    <t>Planned Markdown (₹)</t>
  </si>
  <si>
    <t>Sales × Markdown %</t>
  </si>
  <si>
    <t>Inventory Change (₹)</t>
  </si>
  <si>
    <t>Closing − Opening Inventory</t>
  </si>
  <si>
    <t>Illustrative Purchase Need (₹)</t>
  </si>
  <si>
    <t>COGS + Inventory Change</t>
  </si>
  <si>
    <t>Monthly Sales Phasing</t>
  </si>
  <si>
    <t>Month</t>
  </si>
  <si>
    <t>Sales Mix %</t>
  </si>
  <si>
    <t>Planned Sales (₹)</t>
  </si>
  <si>
    <t>Gross Margin (₹)</t>
  </si>
  <si>
    <t>COGS (₹)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</si>
  <si>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</si>
  <si>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</si>
  <si>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</si>
  <si>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</si>
  <si>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</si>
  <si>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</si>
  <si>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</si>
  <si>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</si>
  <si>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</si>
  <si>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</si>
  <si>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</si>
  <si>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</si>
  <si>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</si>
  <si>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Lesson 2 — MFP Exercise</t>
  </si>
  <si>
    <t>1. Change the annual sales target.</t>
  </si>
  <si>
    <t>2. Change the growth assumption and observe the base-year sales.</t>
  </si>
  <si>
    <t>3. Change gross margin and markdown assumptions.</t>
  </si>
  <si>
    <t>4. Change monthly sales mix while keeping the total at 100%.</t>
  </si>
  <si>
    <t>5. Review the resulting gross margin, COGS and inventory change.</t>
  </si>
  <si>
    <t>6. Use the model to create an MFP for a hypothetical fashion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</si>
</sst>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pane ySplit="21" topLeftCell="A22" activePane="bottomLeft" state="frozen"/>
      <selection pane="bottomLeft"/>
    </sheetView>
  </sheetViews>
  <sheetFormatPr defaultRowHeight="16.2" x14ac:dyDescent="0.3"/>
  <cols>
    <col min="1" max="1" width="34" customWidth="1"/>
    <col min="2" max="2" width="20" customWidth="1"/>
    <col min="3" max="3" width="32" customWidth="1"/>
    <col min="4" max="5" width="22" customWidth="1"/>
  </cols>
  <sheetData>
    <row r="1" spans="1:5" ht="24" x14ac:dyDescent="0.3">
      <c r="A1" s="1" t="s">
        <v>0</v>
      </c>
      <c r="B1" s="2"/>
      <c r="C1" s="2"/>
      <c r="D1" s="2"/>
      <c r="E1" s="2"/>
    </row>
    <row r="2" spans="1:5" ht="19.8" x14ac:dyDescent="0.3">
      <c r="A2" s="3" t="s">
        <v>1</v>
      </c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 t="s">
        <v>2</v>
      </c>
      <c r="B4" s="2" t="s">
        <v>3</v>
      </c>
      <c r="C4" s="2" t="s">
        <v>4</v>
      </c>
      <c r="D4" s="2"/>
      <c r="E4" s="2"/>
    </row>
    <row r="5" spans="1:5" x14ac:dyDescent="0.3">
      <c r="A5" s="2" t="s">
        <v>5</v>
      </c>
      <c r="B5" s="4">
        <v>100000000</v>
      </c>
      <c r="C5" s="2" t="s">
        <v>6</v>
      </c>
      <c r="D5" s="2"/>
      <c r="E5" s="2"/>
    </row>
    <row r="6" spans="1:5" x14ac:dyDescent="0.3">
      <c r="A6" s="2" t="s">
        <v>7</v>
      </c>
      <c r="B6" s="5">
        <v>0.15</v>
      </c>
      <c r="C6" s="2" t="s">
        <v>8</v>
      </c>
      <c r="D6" s="2"/>
      <c r="E6" s="2"/>
    </row>
    <row r="7" spans="1:5" x14ac:dyDescent="0.3">
      <c r="A7" s="2" t="s">
        <v>9</v>
      </c>
      <c r="B7" s="5">
        <v>0.6</v>
      </c>
      <c r="C7" s="2" t="s">
        <v>10</v>
      </c>
      <c r="D7" s="2"/>
      <c r="E7" s="2"/>
    </row>
    <row r="8" spans="1:5" x14ac:dyDescent="0.3">
      <c r="A8" s="2" t="s">
        <v>11</v>
      </c>
      <c r="B8" s="5">
        <v>0.1</v>
      </c>
      <c r="C8" s="2" t="s">
        <v>12</v>
      </c>
      <c r="D8" s="2"/>
      <c r="E8" s="2"/>
    </row>
    <row r="9" spans="1:5" x14ac:dyDescent="0.3">
      <c r="A9" s="2" t="s">
        <v>13</v>
      </c>
      <c r="B9" s="4">
        <v>25000000</v>
      </c>
      <c r="C9" s="2" t="s">
        <v>14</v>
      </c>
      <c r="D9" s="2"/>
      <c r="E9" s="2"/>
    </row>
    <row r="10" spans="1:5" x14ac:dyDescent="0.3">
      <c r="A10" s="2" t="s">
        <v>15</v>
      </c>
      <c r="B10" s="4">
        <v>30000000</v>
      </c>
      <c r="C10" s="2" t="s">
        <v>16</v>
      </c>
      <c r="D10" s="2"/>
      <c r="E10" s="2"/>
    </row>
    <row r="11" spans="1:5" x14ac:dyDescent="0.3">
      <c r="A11" s="2"/>
      <c r="B11" s="4"/>
      <c r="C11" s="2"/>
      <c r="D11" s="2"/>
      <c r="E11" s="2"/>
    </row>
    <row r="12" spans="1:5" x14ac:dyDescent="0.3">
      <c r="A12" s="2" t="s">
        <v>17</v>
      </c>
      <c r="B12" s="4" t="s">
        <v>18</v>
      </c>
      <c r="C12" s="2" t="s">
        <v>19</v>
      </c>
      <c r="D12" s="2"/>
      <c r="E12" s="2"/>
    </row>
    <row r="13" spans="1:5" x14ac:dyDescent="0.3">
      <c r="A13" s="2" t="s">
        <v>20</v>
      </c>
      <c r="B13" s="4">
        <f>B5/(1+B6)</f>
        <v>86956521.739130437</v>
      </c>
      <c r="C13" s="2" t="s">
        <v>21</v>
      </c>
      <c r="D13" s="2"/>
      <c r="E13" s="2"/>
    </row>
    <row r="14" spans="1:5" x14ac:dyDescent="0.3">
      <c r="A14" s="2" t="s">
        <v>22</v>
      </c>
      <c r="B14" s="4">
        <f>B5*B7</f>
        <v>60000000</v>
      </c>
      <c r="C14" s="2" t="s">
        <v>23</v>
      </c>
      <c r="D14" s="2"/>
      <c r="E14" s="2"/>
    </row>
    <row r="15" spans="1:5" x14ac:dyDescent="0.3">
      <c r="A15" s="2" t="s">
        <v>24</v>
      </c>
      <c r="B15" s="4">
        <f>B5-B11</f>
        <v>100000000</v>
      </c>
      <c r="C15" s="2" t="s">
        <v>25</v>
      </c>
      <c r="D15" s="2"/>
      <c r="E15" s="2"/>
    </row>
    <row r="16" spans="1:5" x14ac:dyDescent="0.3">
      <c r="A16" s="2" t="s">
        <v>26</v>
      </c>
      <c r="B16" s="4">
        <f>B5*B8</f>
        <v>10000000</v>
      </c>
      <c r="C16" s="2" t="s">
        <v>27</v>
      </c>
      <c r="D16" s="2"/>
      <c r="E16" s="2"/>
    </row>
    <row r="17" spans="1:5" x14ac:dyDescent="0.3">
      <c r="A17" s="2" t="s">
        <v>28</v>
      </c>
      <c r="B17" s="2">
        <f>B10-B9</f>
        <v>5000000</v>
      </c>
      <c r="C17" s="2" t="s">
        <v>29</v>
      </c>
      <c r="D17" s="2"/>
      <c r="E17" s="2"/>
    </row>
    <row r="18" spans="1:5" x14ac:dyDescent="0.3">
      <c r="A18" s="2" t="s">
        <v>30</v>
      </c>
      <c r="B18" s="2">
        <f>B13+B14</f>
        <v>146956521.73913044</v>
      </c>
      <c r="C18" s="2" t="s">
        <v>31</v>
      </c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6" t="s">
        <v>32</v>
      </c>
      <c r="B20" s="2"/>
      <c r="C20" s="2"/>
      <c r="D20" s="2"/>
      <c r="E20" s="2"/>
    </row>
    <row r="21" spans="1:5" x14ac:dyDescent="0.3">
      <c r="A21" s="6" t="s">
        <v>33</v>
      </c>
      <c r="B21" s="6" t="s">
        <v>34</v>
      </c>
      <c r="C21" s="6" t="s">
        <v>35</v>
      </c>
      <c r="D21" s="6" t="s">
        <v>36</v>
      </c>
      <c r="E21" s="6" t="s">
        <v>37</v>
      </c>
    </row>
    <row r="22" spans="1:5" x14ac:dyDescent="0.3">
      <c r="A22" s="2" t="s">
        <v>38</v>
      </c>
      <c r="B22" s="5">
        <v>7.0000000000000007E-2</v>
      </c>
      <c r="C22" s="4">
        <f t="shared" ref="C22:C33" si="0">B22*$B$5</f>
        <v>7000000.0000000009</v>
      </c>
      <c r="D22" s="4">
        <f t="shared" ref="D22:D33" si="1">C22*$B$7</f>
        <v>4200000</v>
      </c>
      <c r="E22" s="4">
        <f t="shared" ref="E22:E33" si="2">C22-D22</f>
        <v>2800000.0000000009</v>
      </c>
    </row>
    <row r="23" spans="1:5" x14ac:dyDescent="0.3">
      <c r="A23" s="2" t="s">
        <v>39</v>
      </c>
      <c r="B23" s="5">
        <v>7.0000000000000007E-2</v>
      </c>
      <c r="C23" s="4">
        <f t="shared" si="0"/>
        <v>7000000.0000000009</v>
      </c>
      <c r="D23" s="4">
        <f t="shared" si="1"/>
        <v>4200000</v>
      </c>
      <c r="E23" s="4">
        <f t="shared" si="2"/>
        <v>2800000.0000000009</v>
      </c>
    </row>
    <row r="24" spans="1:5" x14ac:dyDescent="0.3">
      <c r="A24" s="2" t="s">
        <v>40</v>
      </c>
      <c r="B24" s="5">
        <v>0.08</v>
      </c>
      <c r="C24" s="4">
        <f t="shared" si="0"/>
        <v>8000000</v>
      </c>
      <c r="D24" s="4">
        <f t="shared" si="1"/>
        <v>4800000</v>
      </c>
      <c r="E24" s="4">
        <f t="shared" si="2"/>
        <v>3200000</v>
      </c>
    </row>
    <row r="25" spans="1:5" x14ac:dyDescent="0.3">
      <c r="A25" s="2" t="s">
        <v>41</v>
      </c>
      <c r="B25" s="5">
        <v>0.08</v>
      </c>
      <c r="C25" s="4">
        <f t="shared" si="0"/>
        <v>8000000</v>
      </c>
      <c r="D25" s="4">
        <f t="shared" si="1"/>
        <v>4800000</v>
      </c>
      <c r="E25" s="4">
        <f t="shared" si="2"/>
        <v>3200000</v>
      </c>
    </row>
    <row r="26" spans="1:5" x14ac:dyDescent="0.3">
      <c r="A26" s="2" t="s">
        <v>42</v>
      </c>
      <c r="B26" s="5">
        <v>0.08</v>
      </c>
      <c r="C26" s="4">
        <f t="shared" si="0"/>
        <v>8000000</v>
      </c>
      <c r="D26" s="4">
        <f t="shared" si="1"/>
        <v>4800000</v>
      </c>
      <c r="E26" s="4">
        <f t="shared" si="2"/>
        <v>3200000</v>
      </c>
    </row>
    <row r="27" spans="1:5" x14ac:dyDescent="0.3">
      <c r="A27" s="2" t="s">
        <v>43</v>
      </c>
      <c r="B27" s="5">
        <v>0.08</v>
      </c>
      <c r="C27" s="4">
        <f t="shared" si="0"/>
        <v>8000000</v>
      </c>
      <c r="D27" s="4">
        <f t="shared" si="1"/>
        <v>4800000</v>
      </c>
      <c r="E27" s="4">
        <f t="shared" si="2"/>
        <v>3200000</v>
      </c>
    </row>
    <row r="28" spans="1:5" x14ac:dyDescent="0.3">
      <c r="A28" s="2" t="s">
        <v>44</v>
      </c>
      <c r="B28" s="5">
        <v>0.1</v>
      </c>
      <c r="C28" s="4">
        <f t="shared" si="0"/>
        <v>10000000</v>
      </c>
      <c r="D28" s="4">
        <f t="shared" si="1"/>
        <v>6000000</v>
      </c>
      <c r="E28" s="4">
        <f t="shared" si="2"/>
        <v>4000000</v>
      </c>
    </row>
    <row r="29" spans="1:5" x14ac:dyDescent="0.3">
      <c r="A29" s="2" t="s">
        <v>45</v>
      </c>
      <c r="B29" s="5">
        <v>0.1</v>
      </c>
      <c r="C29" s="4">
        <f t="shared" si="0"/>
        <v>10000000</v>
      </c>
      <c r="D29" s="4">
        <f t="shared" si="1"/>
        <v>6000000</v>
      </c>
      <c r="E29" s="4">
        <f t="shared" si="2"/>
        <v>4000000</v>
      </c>
    </row>
    <row r="30" spans="1:5" x14ac:dyDescent="0.3">
      <c r="A30" s="2" t="s">
        <v>46</v>
      </c>
      <c r="B30" s="5">
        <v>0.11</v>
      </c>
      <c r="C30" s="4">
        <f t="shared" si="0"/>
        <v>11000000</v>
      </c>
      <c r="D30" s="4">
        <f t="shared" si="1"/>
        <v>6600000</v>
      </c>
      <c r="E30" s="4">
        <f t="shared" si="2"/>
        <v>4400000</v>
      </c>
    </row>
    <row r="31" spans="1:5" x14ac:dyDescent="0.3">
      <c r="A31" s="2" t="s">
        <v>47</v>
      </c>
      <c r="B31" s="5">
        <v>0.09</v>
      </c>
      <c r="C31" s="4">
        <f t="shared" si="0"/>
        <v>9000000</v>
      </c>
      <c r="D31" s="4">
        <f t="shared" si="1"/>
        <v>5400000</v>
      </c>
      <c r="E31" s="4">
        <f t="shared" si="2"/>
        <v>3600000</v>
      </c>
    </row>
    <row r="32" spans="1:5" x14ac:dyDescent="0.3">
      <c r="A32" s="2" t="s">
        <v>48</v>
      </c>
      <c r="B32" s="5">
        <v>7.0000000000000007E-2</v>
      </c>
      <c r="C32" s="4">
        <f t="shared" si="0"/>
        <v>7000000.0000000009</v>
      </c>
      <c r="D32" s="4">
        <f t="shared" si="1"/>
        <v>4200000</v>
      </c>
      <c r="E32" s="4">
        <f t="shared" si="2"/>
        <v>2800000.0000000009</v>
      </c>
    </row>
    <row r="33" spans="1:5" x14ac:dyDescent="0.3">
      <c r="A33" s="2" t="s">
        <v>49</v>
      </c>
      <c r="B33" s="5">
        <v>7.0000000000000007E-2</v>
      </c>
      <c r="C33" s="4">
        <f t="shared" si="0"/>
        <v>7000000.0000000009</v>
      </c>
      <c r="D33" s="4">
        <f t="shared" si="1"/>
        <v>4200000</v>
      </c>
      <c r="E33" s="4">
        <f t="shared" si="2"/>
        <v>2800000.0000000009</v>
      </c>
    </row>
    <row r="34" spans="1:5" x14ac:dyDescent="0.3">
      <c r="A34" s="6" t="s">
        <v>50</v>
      </c>
      <c r="B34" s="5">
        <f>SUM(B22:B33)</f>
        <v>1</v>
      </c>
      <c r="C34" s="4">
        <f>SUM(C22:C33)</f>
        <v>100000000</v>
      </c>
      <c r="D34" s="4">
        <f>SUM(D22:D33)</f>
        <v>60000000</v>
      </c>
      <c r="E34" s="4">
        <f>SUM(E22:E33)</f>
        <v>40000000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6.2" x14ac:dyDescent="0.3"/>
  <cols>
    <col min="1" max="1" width="100" customWidth="1"/>
  </cols>
  <sheetData>
    <row r="1" spans="1:1" ht="22.8" x14ac:dyDescent="0.4">
      <c r="A1" s="7" t="s">
        <v>51</v>
      </c>
    </row>
    <row r="3" spans="1:1" x14ac:dyDescent="0.3">
      <c r="A3" t="s">
        <v>52</v>
      </c>
    </row>
    <row r="4" spans="1:1" x14ac:dyDescent="0.3">
      <c r="A4" t="s">
        <v>53</v>
      </c>
    </row>
    <row r="5" spans="1:1" x14ac:dyDescent="0.3">
      <c r="A5" t="s">
        <v>54</v>
      </c>
    </row>
    <row r="6" spans="1:1" x14ac:dyDescent="0.3">
      <c r="A6" t="s">
        <v>55</v>
      </c>
    </row>
    <row r="7" spans="1:1" x14ac:dyDescent="0.3">
      <c r="A7" t="s">
        <v>56</v>
      </c>
    </row>
    <row r="8" spans="1:1" x14ac:dyDescent="0.3">
      <c r="A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MFP Practice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2026-09-22T04:53:35Z</dcterms:created>
  <dcterms:modified xsi:type="dcterms:W3CDTF">2026-09-22T04:56:14Z</dcterms:modified>
</cp:coreProperties>
</file>