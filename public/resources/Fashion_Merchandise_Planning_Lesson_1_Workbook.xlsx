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I TANDON\Desktop\R\website\"/>
    </mc:Choice>
  </mc:AlternateContent>
  <xr:revisionPtr revIDLastSave="0" documentId="8_{925B1034-3C27-45F3-A01C-DDA231979D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sson 1 - 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B17" i="1"/>
  <c r="B16" i="1"/>
  <c r="C16" i="1" s="1"/>
  <c r="B15" i="1"/>
  <c r="C15" i="1" s="1"/>
  <c r="C14" i="1"/>
  <c r="B14" i="1"/>
  <c r="C13" i="1"/>
  <c r="B13" i="1"/>
  <c r="D13" i="1" s="1"/>
  <c r="C18" i="1" l="1"/>
  <c r="B18" i="1"/>
  <c r="D18" i="1" s="1"/>
</calcChain>
</file>

<file path=xl/sharedStrings.xml><?xml version="1.0" encoding="utf-8"?>
<sst xmlns="http://schemas.openxmlformats.org/spreadsheetml/2006/main" count="34" uniqueCount="28">
  <si>
    <t>FASHION RETAIL ACADEMY</t>
  </si>
  <si>
    <t>Lesson 1: What is Merchandise Planning?</t>
  </si>
  <si>
    <t>Input / KPI</t>
  </si>
  <si>
    <t>Value</t>
  </si>
  <si>
    <t>Formula / Explanation</t>
  </si>
  <si>
    <t>Example</t>
  </si>
  <si>
    <t>Annual Sales Target (₹)</t>
  </si>
  <si>
    <t>Enter annual target</t>
  </si>
  <si>
    <t>₹10 Cr</t>
  </si>
  <si>
    <t>Shirts %</t>
  </si>
  <si>
    <t>Category mix</t>
  </si>
  <si>
    <t>30%</t>
  </si>
  <si>
    <t>T-shirts %</t>
  </si>
  <si>
    <t>20%</t>
  </si>
  <si>
    <t>Polos %</t>
  </si>
  <si>
    <t>Trousers %</t>
  </si>
  <si>
    <t>10%</t>
  </si>
  <si>
    <t>Denim %</t>
  </si>
  <si>
    <t>Category</t>
  </si>
  <si>
    <t>Mix %</t>
  </si>
  <si>
    <t>Planned Sales (₹)</t>
  </si>
  <si>
    <t>Check</t>
  </si>
  <si>
    <t>Shirts</t>
  </si>
  <si>
    <t>T-shirts</t>
  </si>
  <si>
    <t>Polos</t>
  </si>
  <si>
    <t>Trousers</t>
  </si>
  <si>
    <t>Denim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</si>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</sst>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  <col min="2" max="2" width="18" customWidth="1"/>
    <col min="3" max="3" width="28" customWidth="1"/>
    <col min="4" max="4" width="24" customWidth="1"/>
  </cols>
  <sheetData>
    <row r="1" spans="1:4" ht="24" x14ac:dyDescent="0.3">
      <c r="A1" s="1" t="s">
        <v>0</v>
      </c>
      <c r="B1" s="1"/>
      <c r="C1" s="1"/>
      <c r="D1" s="1"/>
    </row>
    <row r="2" spans="1:4" ht="19.8" x14ac:dyDescent="0.3">
      <c r="A2" s="2" t="s">
        <v>1</v>
      </c>
      <c r="B2" s="2"/>
      <c r="C2" s="2"/>
      <c r="D2" s="2"/>
    </row>
    <row r="3" spans="1:4" x14ac:dyDescent="0.3">
      <c r="A3" s="3"/>
      <c r="B3" s="3"/>
      <c r="C3" s="3"/>
      <c r="D3" s="3"/>
    </row>
    <row r="4" spans="1:4" ht="16.2" x14ac:dyDescent="0.3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3">
      <c r="A5" s="3" t="s">
        <v>6</v>
      </c>
      <c r="B5" s="5">
        <v>100000000</v>
      </c>
      <c r="C5" s="3" t="s">
        <v>7</v>
      </c>
      <c r="D5" s="3" t="s">
        <v>8</v>
      </c>
    </row>
    <row r="6" spans="1:4" x14ac:dyDescent="0.3">
      <c r="A6" s="3" t="s">
        <v>9</v>
      </c>
      <c r="B6" s="6">
        <v>0.3</v>
      </c>
      <c r="C6" s="3" t="s">
        <v>10</v>
      </c>
      <c r="D6" s="3" t="s">
        <v>11</v>
      </c>
    </row>
    <row r="7" spans="1:4" x14ac:dyDescent="0.3">
      <c r="A7" s="3" t="s">
        <v>12</v>
      </c>
      <c r="B7" s="6">
        <v>0.2</v>
      </c>
      <c r="C7" s="3" t="s">
        <v>10</v>
      </c>
      <c r="D7" s="3" t="s">
        <v>13</v>
      </c>
    </row>
    <row r="8" spans="1:4" x14ac:dyDescent="0.3">
      <c r="A8" s="3" t="s">
        <v>14</v>
      </c>
      <c r="B8" s="6">
        <v>0.2</v>
      </c>
      <c r="C8" s="3" t="s">
        <v>10</v>
      </c>
      <c r="D8" s="3" t="s">
        <v>13</v>
      </c>
    </row>
    <row r="9" spans="1:4" x14ac:dyDescent="0.3">
      <c r="A9" s="3" t="s">
        <v>15</v>
      </c>
      <c r="B9" s="6">
        <v>0.1</v>
      </c>
      <c r="C9" s="3" t="s">
        <v>10</v>
      </c>
      <c r="D9" s="3" t="s">
        <v>16</v>
      </c>
    </row>
    <row r="10" spans="1:4" x14ac:dyDescent="0.3">
      <c r="A10" s="3" t="s">
        <v>17</v>
      </c>
      <c r="B10" s="6">
        <v>0.2</v>
      </c>
      <c r="C10" s="3" t="s">
        <v>10</v>
      </c>
      <c r="D10" s="3" t="s">
        <v>13</v>
      </c>
    </row>
    <row r="11" spans="1:4" x14ac:dyDescent="0.3">
      <c r="A11" s="3"/>
      <c r="B11" s="3"/>
      <c r="C11" s="3"/>
      <c r="D11" s="3"/>
    </row>
    <row r="12" spans="1:4" x14ac:dyDescent="0.3">
      <c r="A12" s="3" t="s">
        <v>18</v>
      </c>
      <c r="B12" s="3" t="s">
        <v>19</v>
      </c>
      <c r="C12" s="3" t="s">
        <v>20</v>
      </c>
      <c r="D12" s="3" t="s">
        <v>21</v>
      </c>
    </row>
    <row r="13" spans="1:4" x14ac:dyDescent="0.3">
      <c r="A13" s="3" t="s">
        <v>22</v>
      </c>
      <c r="B13" s="6">
        <f>B6</f>
        <v>0.3</v>
      </c>
      <c r="C13" s="5">
        <f>B13*$B$5</f>
        <v>30000000</v>
      </c>
      <c r="D13" s="3" t="str">
        <f>IF(ABS(SUM($B$13:$B$17)-1)&lt;0.0001,"OK","Check mix")</f>
        <v>OK</v>
      </c>
    </row>
    <row r="14" spans="1:4" x14ac:dyDescent="0.3">
      <c r="A14" s="3" t="s">
        <v>23</v>
      </c>
      <c r="B14" s="6">
        <f>B7</f>
        <v>0.2</v>
      </c>
      <c r="C14" s="5">
        <f>B14*$B$5</f>
        <v>20000000</v>
      </c>
      <c r="D14" s="3"/>
    </row>
    <row r="15" spans="1:4" x14ac:dyDescent="0.3">
      <c r="A15" s="3" t="s">
        <v>24</v>
      </c>
      <c r="B15" s="6">
        <f>B8</f>
        <v>0.2</v>
      </c>
      <c r="C15" s="5">
        <f>B15*$B$5</f>
        <v>20000000</v>
      </c>
      <c r="D15" s="3"/>
    </row>
    <row r="16" spans="1:4" x14ac:dyDescent="0.3">
      <c r="A16" s="3" t="s">
        <v>25</v>
      </c>
      <c r="B16" s="6">
        <f>B9</f>
        <v>0.1</v>
      </c>
      <c r="C16" s="5">
        <f>B16*$B$5</f>
        <v>10000000</v>
      </c>
      <c r="D16" s="3"/>
    </row>
    <row r="17" spans="1:4" x14ac:dyDescent="0.3">
      <c r="A17" s="3" t="s">
        <v>26</v>
      </c>
      <c r="B17" s="6">
        <f>B10</f>
        <v>0.2</v>
      </c>
      <c r="C17" s="5">
        <f>B17*$B$5</f>
        <v>20000000</v>
      </c>
      <c r="D17" s="3"/>
    </row>
    <row r="18" spans="1:4" x14ac:dyDescent="0.3">
      <c r="A18" s="3" t="s">
        <v>27</v>
      </c>
      <c r="B18" s="6">
        <f>SUM(B13:B17)</f>
        <v>1</v>
      </c>
      <c r="C18" s="5">
        <f>SUM(C13:C17)</f>
        <v>100000000</v>
      </c>
      <c r="D18" s="3" t="str">
        <f>IF(ABS(B18-1)&lt;0.0001,"OK","Check mix")</f>
        <v>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 1 -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TANDON</cp:lastModifiedBy>
  <dcterms:created xsi:type="dcterms:W3CDTF">2026-09-21T13:34:41Z</dcterms:created>
  <dcterms:modified xsi:type="dcterms:W3CDTF">2026-09-22T04:24:43Z</dcterms:modified>
</cp:coreProperties>
</file>