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SHI TANDON\Desktop\R\website\"/>
    </mc:Choice>
  </mc:AlternateContent>
  <xr:revisionPtr revIDLastSave="0" documentId="8_{ED81EC27-1F74-48B1-8E38-FBF84EC7DB2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ock Plan" sheetId="1" r:id="rId1"/>
    <sheet name="Stock Summary" sheetId="2" r:id="rId2"/>
    <sheet name="Exercise Gui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3" i="2"/>
  <c r="B2" i="2"/>
  <c r="I27" i="1"/>
  <c r="H27" i="1"/>
  <c r="F27" i="1"/>
  <c r="G27" i="1" s="1"/>
  <c r="E27" i="1"/>
  <c r="I26" i="1"/>
  <c r="H26" i="1"/>
  <c r="F26" i="1"/>
  <c r="G26" i="1" s="1"/>
  <c r="E26" i="1"/>
  <c r="I25" i="1"/>
  <c r="H25" i="1"/>
  <c r="F25" i="1"/>
  <c r="G25" i="1" s="1"/>
  <c r="E25" i="1"/>
  <c r="I24" i="1"/>
  <c r="H24" i="1"/>
  <c r="F24" i="1"/>
  <c r="G24" i="1" s="1"/>
  <c r="E24" i="1"/>
  <c r="I23" i="1"/>
  <c r="H23" i="1"/>
  <c r="F23" i="1"/>
  <c r="G23" i="1" s="1"/>
  <c r="E23" i="1"/>
  <c r="I22" i="1"/>
  <c r="H22" i="1"/>
  <c r="F22" i="1"/>
  <c r="G22" i="1" s="1"/>
  <c r="E22" i="1"/>
  <c r="I21" i="1"/>
  <c r="H21" i="1"/>
  <c r="F21" i="1"/>
  <c r="G21" i="1" s="1"/>
  <c r="E21" i="1"/>
  <c r="I20" i="1"/>
  <c r="H20" i="1"/>
  <c r="F20" i="1"/>
  <c r="G20" i="1" s="1"/>
  <c r="E20" i="1"/>
  <c r="I19" i="1"/>
  <c r="H19" i="1"/>
  <c r="F19" i="1"/>
  <c r="G19" i="1" s="1"/>
  <c r="E19" i="1"/>
  <c r="I18" i="1"/>
  <c r="H18" i="1"/>
  <c r="F18" i="1"/>
  <c r="G18" i="1" s="1"/>
  <c r="E18" i="1"/>
  <c r="I17" i="1"/>
  <c r="H17" i="1"/>
  <c r="F17" i="1"/>
  <c r="G17" i="1" s="1"/>
  <c r="E17" i="1"/>
  <c r="I16" i="1"/>
  <c r="H16" i="1"/>
  <c r="F16" i="1"/>
  <c r="G16" i="1" s="1"/>
  <c r="E16" i="1"/>
  <c r="I15" i="1"/>
  <c r="H15" i="1"/>
  <c r="F15" i="1"/>
  <c r="G15" i="1" s="1"/>
  <c r="E15" i="1"/>
  <c r="I14" i="1"/>
  <c r="H14" i="1"/>
  <c r="F14" i="1"/>
  <c r="G14" i="1" s="1"/>
  <c r="E14" i="1"/>
  <c r="I13" i="1"/>
  <c r="H13" i="1"/>
  <c r="F13" i="1"/>
  <c r="G13" i="1" s="1"/>
  <c r="E13" i="1"/>
  <c r="I12" i="1"/>
  <c r="H12" i="1"/>
  <c r="G12" i="1"/>
  <c r="F12" i="1"/>
  <c r="E12" i="1"/>
  <c r="I11" i="1"/>
  <c r="H11" i="1"/>
  <c r="F11" i="1"/>
  <c r="G11" i="1" s="1"/>
  <c r="E11" i="1"/>
  <c r="I10" i="1"/>
  <c r="H10" i="1"/>
  <c r="F10" i="1"/>
  <c r="G10" i="1" s="1"/>
  <c r="E10" i="1"/>
  <c r="I9" i="1"/>
  <c r="H9" i="1"/>
  <c r="B6" i="2" s="1"/>
  <c r="F9" i="1"/>
  <c r="G9" i="1" s="1"/>
  <c r="E9" i="1"/>
  <c r="I8" i="1"/>
  <c r="H8" i="1"/>
  <c r="F8" i="1"/>
  <c r="G8" i="1" s="1"/>
  <c r="E8" i="1"/>
  <c r="I7" i="1"/>
  <c r="H7" i="1"/>
  <c r="F7" i="1"/>
  <c r="G7" i="1" s="1"/>
  <c r="E7" i="1"/>
  <c r="I6" i="1"/>
  <c r="H6" i="1"/>
  <c r="F6" i="1"/>
  <c r="G6" i="1" s="1"/>
  <c r="E6" i="1"/>
  <c r="I5" i="1"/>
  <c r="H5" i="1"/>
  <c r="F5" i="1"/>
  <c r="G5" i="1" s="1"/>
  <c r="E5" i="1"/>
  <c r="I4" i="1"/>
  <c r="H4" i="1"/>
  <c r="F4" i="1"/>
  <c r="G4" i="1" s="1"/>
  <c r="E4" i="1"/>
  <c r="I3" i="1"/>
  <c r="H3" i="1"/>
  <c r="F3" i="1"/>
  <c r="G3" i="1" s="1"/>
  <c r="E3" i="1"/>
  <c r="I2" i="1"/>
  <c r="H2" i="1"/>
  <c r="F2" i="1"/>
  <c r="G2" i="1" s="1"/>
  <c r="B5" i="2" s="1"/>
  <c r="E2" i="1"/>
</calcChain>
</file>

<file path=xl/sharedStrings.xml><?xml version="1.0" encoding="utf-8"?>
<sst xmlns="http://schemas.openxmlformats.org/spreadsheetml/2006/main" count="29" uniqueCount="29">
  <si>
    <t>Week</t>
  </si>
  <si>
    <t>Opening Stock (Units)</t>
  </si>
  <si>
    <t>Receipts (Units)</t>
  </si>
  <si>
    <t>Planned Sales (Units)</t>
  </si>
  <si>
    <t>Closing Stock (Units)</t>
  </si>
  <si>
    <t>ROS</t>
  </si>
  <si>
    <t>WOS</t>
  </si>
  <si>
    <t>Sell-through %</t>
  </si>
  <si>
    <t>Stock-to-Sales</t>
  </si>
  <si>
    <t>Action / Comment</t>
  </si>
  <si>
    <t>Actual Sales (Units)</t>
  </si>
  <si>
    <t>Metric</t>
  </si>
  <si>
    <t>Value</t>
  </si>
  <si>
    <t>Total Planned Sales (Units)</t>
  </si>
  <si>
    <t>Total Receipts (Units)</t>
  </si>
  <si>
    <t>Ending Closing Stock (Units)</t>
  </si>
  <si>
    <t>Average WOS</t>
  </si>
  <si>
    <t>Average Sell-through</t>
  </si>
  <si>
    <t>Step</t>
  </si>
  <si>
    <t>Task</t>
  </si>
  <si>
    <t>Choose a category such as shirts, polos or denim.</t>
  </si>
  <si>
    <t>Enter opening stock for each week.</t>
  </si>
  <si>
    <t>Enter planned receipts / intake.</t>
  </si>
  <si>
    <t>Enter planned weekly sales.</t>
  </si>
  <si>
    <t>Review closing stock and WOS.</t>
  </si>
  <si>
    <t>Review sell-through and stock-to-sales.</t>
  </si>
  <si>
    <t>Flag weeks where WOS is too low or too high.</t>
  </si>
  <si>
    <t>Use Action / Comment to decide whether to add, delay or reduce receipts.</t>
  </si>
  <si>
    <t>Enter actual sales after trading and compare plan with reality.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</si>
</sst>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\x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B10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166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/>
  </sheetViews>
  <sheetFormatPr defaultRowHeight="16.2" x14ac:dyDescent="0.3"/>
  <cols>
    <col min="1" max="1" width="8" customWidth="1"/>
    <col min="2" max="2" width="20" customWidth="1"/>
    <col min="3" max="3" width="18" customWidth="1"/>
    <col min="4" max="4" width="22" customWidth="1"/>
    <col min="5" max="5" width="20" customWidth="1"/>
    <col min="6" max="7" width="12" customWidth="1"/>
    <col min="8" max="8" width="16" customWidth="1"/>
    <col min="9" max="9" width="18" customWidth="1"/>
    <col min="10" max="10" width="32" customWidth="1"/>
    <col min="11" max="11" width="2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1</v>
      </c>
      <c r="B2" s="2">
        <v>0</v>
      </c>
      <c r="C2" s="2">
        <v>0</v>
      </c>
      <c r="D2" s="2">
        <v>0</v>
      </c>
      <c r="E2" s="2">
        <f t="shared" ref="E2:E27" si="0">B2+C2-D2</f>
        <v>0</v>
      </c>
      <c r="F2" s="2">
        <f t="shared" ref="F2:F27" si="1">D2</f>
        <v>0</v>
      </c>
      <c r="G2" s="2" t="str">
        <f t="shared" ref="G2:G27" si="2">IF(F2=0,"",E2/F2)</f>
        <v/>
      </c>
      <c r="H2" s="3" t="str">
        <f t="shared" ref="H2:H27" si="3">IF(B2+C2=0,"",D2/(B2+C2))</f>
        <v/>
      </c>
      <c r="I2" s="4" t="str">
        <f t="shared" ref="I2:I27" si="4">IF(D2=0,"",E2/D2)</f>
        <v/>
      </c>
      <c r="J2" s="2"/>
      <c r="K2" s="2">
        <v>0</v>
      </c>
    </row>
    <row r="3" spans="1:11" x14ac:dyDescent="0.3">
      <c r="A3" s="2">
        <v>2</v>
      </c>
      <c r="B3" s="2">
        <v>0</v>
      </c>
      <c r="C3" s="2">
        <v>0</v>
      </c>
      <c r="D3" s="2">
        <v>0</v>
      </c>
      <c r="E3" s="2">
        <f t="shared" si="0"/>
        <v>0</v>
      </c>
      <c r="F3" s="2">
        <f t="shared" si="1"/>
        <v>0</v>
      </c>
      <c r="G3" s="2" t="str">
        <f t="shared" si="2"/>
        <v/>
      </c>
      <c r="H3" s="3" t="str">
        <f t="shared" si="3"/>
        <v/>
      </c>
      <c r="I3" s="4" t="str">
        <f t="shared" si="4"/>
        <v/>
      </c>
      <c r="J3" s="2"/>
      <c r="K3" s="2">
        <v>0</v>
      </c>
    </row>
    <row r="4" spans="1:11" x14ac:dyDescent="0.3">
      <c r="A4" s="2">
        <v>3</v>
      </c>
      <c r="B4" s="2">
        <v>0</v>
      </c>
      <c r="C4" s="2">
        <v>0</v>
      </c>
      <c r="D4" s="2">
        <v>0</v>
      </c>
      <c r="E4" s="2">
        <f t="shared" si="0"/>
        <v>0</v>
      </c>
      <c r="F4" s="2">
        <f t="shared" si="1"/>
        <v>0</v>
      </c>
      <c r="G4" s="2" t="str">
        <f t="shared" si="2"/>
        <v/>
      </c>
      <c r="H4" s="3" t="str">
        <f t="shared" si="3"/>
        <v/>
      </c>
      <c r="I4" s="4" t="str">
        <f t="shared" si="4"/>
        <v/>
      </c>
      <c r="J4" s="2"/>
      <c r="K4" s="2">
        <v>0</v>
      </c>
    </row>
    <row r="5" spans="1:11" x14ac:dyDescent="0.3">
      <c r="A5" s="2">
        <v>4</v>
      </c>
      <c r="B5" s="2">
        <v>0</v>
      </c>
      <c r="C5" s="2">
        <v>0</v>
      </c>
      <c r="D5" s="2">
        <v>0</v>
      </c>
      <c r="E5" s="2">
        <f t="shared" si="0"/>
        <v>0</v>
      </c>
      <c r="F5" s="2">
        <f t="shared" si="1"/>
        <v>0</v>
      </c>
      <c r="G5" s="2" t="str">
        <f t="shared" si="2"/>
        <v/>
      </c>
      <c r="H5" s="3" t="str">
        <f t="shared" si="3"/>
        <v/>
      </c>
      <c r="I5" s="4" t="str">
        <f t="shared" si="4"/>
        <v/>
      </c>
      <c r="J5" s="2"/>
      <c r="K5" s="2">
        <v>0</v>
      </c>
    </row>
    <row r="6" spans="1:11" x14ac:dyDescent="0.3">
      <c r="A6" s="2">
        <v>5</v>
      </c>
      <c r="B6" s="2">
        <v>0</v>
      </c>
      <c r="C6" s="2">
        <v>0</v>
      </c>
      <c r="D6" s="2">
        <v>0</v>
      </c>
      <c r="E6" s="2">
        <f t="shared" si="0"/>
        <v>0</v>
      </c>
      <c r="F6" s="2">
        <f t="shared" si="1"/>
        <v>0</v>
      </c>
      <c r="G6" s="2" t="str">
        <f t="shared" si="2"/>
        <v/>
      </c>
      <c r="H6" s="3" t="str">
        <f t="shared" si="3"/>
        <v/>
      </c>
      <c r="I6" s="4" t="str">
        <f t="shared" si="4"/>
        <v/>
      </c>
      <c r="J6" s="2"/>
      <c r="K6" s="2">
        <v>0</v>
      </c>
    </row>
    <row r="7" spans="1:11" x14ac:dyDescent="0.3">
      <c r="A7" s="2">
        <v>6</v>
      </c>
      <c r="B7" s="2">
        <v>0</v>
      </c>
      <c r="C7" s="2">
        <v>0</v>
      </c>
      <c r="D7" s="2">
        <v>0</v>
      </c>
      <c r="E7" s="2">
        <f t="shared" si="0"/>
        <v>0</v>
      </c>
      <c r="F7" s="2">
        <f t="shared" si="1"/>
        <v>0</v>
      </c>
      <c r="G7" s="2" t="str">
        <f t="shared" si="2"/>
        <v/>
      </c>
      <c r="H7" s="3" t="str">
        <f t="shared" si="3"/>
        <v/>
      </c>
      <c r="I7" s="4" t="str">
        <f t="shared" si="4"/>
        <v/>
      </c>
      <c r="J7" s="2"/>
      <c r="K7" s="2">
        <v>0</v>
      </c>
    </row>
    <row r="8" spans="1:11" x14ac:dyDescent="0.3">
      <c r="A8" s="2">
        <v>7</v>
      </c>
      <c r="B8" s="2">
        <v>0</v>
      </c>
      <c r="C8" s="2">
        <v>0</v>
      </c>
      <c r="D8" s="2">
        <v>0</v>
      </c>
      <c r="E8" s="2">
        <f t="shared" si="0"/>
        <v>0</v>
      </c>
      <c r="F8" s="2">
        <f t="shared" si="1"/>
        <v>0</v>
      </c>
      <c r="G8" s="2" t="str">
        <f t="shared" si="2"/>
        <v/>
      </c>
      <c r="H8" s="3" t="str">
        <f t="shared" si="3"/>
        <v/>
      </c>
      <c r="I8" s="4" t="str">
        <f t="shared" si="4"/>
        <v/>
      </c>
      <c r="J8" s="2"/>
      <c r="K8" s="2">
        <v>0</v>
      </c>
    </row>
    <row r="9" spans="1:11" x14ac:dyDescent="0.3">
      <c r="A9" s="2">
        <v>8</v>
      </c>
      <c r="B9" s="2">
        <v>0</v>
      </c>
      <c r="C9" s="2">
        <v>0</v>
      </c>
      <c r="D9" s="2">
        <v>0</v>
      </c>
      <c r="E9" s="2">
        <f t="shared" si="0"/>
        <v>0</v>
      </c>
      <c r="F9" s="2">
        <f t="shared" si="1"/>
        <v>0</v>
      </c>
      <c r="G9" s="2" t="str">
        <f t="shared" si="2"/>
        <v/>
      </c>
      <c r="H9" s="3" t="str">
        <f t="shared" si="3"/>
        <v/>
      </c>
      <c r="I9" s="4" t="str">
        <f t="shared" si="4"/>
        <v/>
      </c>
      <c r="J9" s="2"/>
      <c r="K9" s="2">
        <v>0</v>
      </c>
    </row>
    <row r="10" spans="1:11" x14ac:dyDescent="0.3">
      <c r="A10" s="2">
        <v>9</v>
      </c>
      <c r="B10" s="2">
        <v>0</v>
      </c>
      <c r="C10" s="2">
        <v>0</v>
      </c>
      <c r="D10" s="2">
        <v>0</v>
      </c>
      <c r="E10" s="2">
        <f t="shared" si="0"/>
        <v>0</v>
      </c>
      <c r="F10" s="2">
        <f t="shared" si="1"/>
        <v>0</v>
      </c>
      <c r="G10" s="2" t="str">
        <f t="shared" si="2"/>
        <v/>
      </c>
      <c r="H10" s="3" t="str">
        <f t="shared" si="3"/>
        <v/>
      </c>
      <c r="I10" s="4" t="str">
        <f t="shared" si="4"/>
        <v/>
      </c>
      <c r="J10" s="2"/>
      <c r="K10" s="2">
        <v>0</v>
      </c>
    </row>
    <row r="11" spans="1:11" x14ac:dyDescent="0.3">
      <c r="A11" s="2">
        <v>10</v>
      </c>
      <c r="B11" s="2">
        <v>0</v>
      </c>
      <c r="C11" s="2">
        <v>0</v>
      </c>
      <c r="D11" s="2">
        <v>0</v>
      </c>
      <c r="E11" s="2">
        <f t="shared" si="0"/>
        <v>0</v>
      </c>
      <c r="F11" s="2">
        <f t="shared" si="1"/>
        <v>0</v>
      </c>
      <c r="G11" s="2" t="str">
        <f t="shared" si="2"/>
        <v/>
      </c>
      <c r="H11" s="3" t="str">
        <f t="shared" si="3"/>
        <v/>
      </c>
      <c r="I11" s="4" t="str">
        <f t="shared" si="4"/>
        <v/>
      </c>
      <c r="J11" s="2"/>
      <c r="K11" s="2">
        <v>0</v>
      </c>
    </row>
    <row r="12" spans="1:11" x14ac:dyDescent="0.3">
      <c r="A12" s="2">
        <v>11</v>
      </c>
      <c r="B12" s="2">
        <v>0</v>
      </c>
      <c r="C12" s="2">
        <v>0</v>
      </c>
      <c r="D12" s="2">
        <v>0</v>
      </c>
      <c r="E12" s="2">
        <f t="shared" si="0"/>
        <v>0</v>
      </c>
      <c r="F12" s="2">
        <f t="shared" si="1"/>
        <v>0</v>
      </c>
      <c r="G12" s="2" t="str">
        <f t="shared" si="2"/>
        <v/>
      </c>
      <c r="H12" s="3" t="str">
        <f t="shared" si="3"/>
        <v/>
      </c>
      <c r="I12" s="4" t="str">
        <f t="shared" si="4"/>
        <v/>
      </c>
      <c r="J12" s="2"/>
      <c r="K12" s="2">
        <v>0</v>
      </c>
    </row>
    <row r="13" spans="1:11" x14ac:dyDescent="0.3">
      <c r="A13" s="2">
        <v>12</v>
      </c>
      <c r="B13" s="2">
        <v>0</v>
      </c>
      <c r="C13" s="2">
        <v>0</v>
      </c>
      <c r="D13" s="2">
        <v>0</v>
      </c>
      <c r="E13" s="2">
        <f t="shared" si="0"/>
        <v>0</v>
      </c>
      <c r="F13" s="2">
        <f t="shared" si="1"/>
        <v>0</v>
      </c>
      <c r="G13" s="2" t="str">
        <f t="shared" si="2"/>
        <v/>
      </c>
      <c r="H13" s="3" t="str">
        <f t="shared" si="3"/>
        <v/>
      </c>
      <c r="I13" s="4" t="str">
        <f t="shared" si="4"/>
        <v/>
      </c>
      <c r="J13" s="2"/>
      <c r="K13" s="2">
        <v>0</v>
      </c>
    </row>
    <row r="14" spans="1:11" x14ac:dyDescent="0.3">
      <c r="A14" s="2">
        <v>13</v>
      </c>
      <c r="B14" s="2">
        <v>0</v>
      </c>
      <c r="C14" s="2">
        <v>0</v>
      </c>
      <c r="D14" s="2">
        <v>0</v>
      </c>
      <c r="E14" s="2">
        <f t="shared" si="0"/>
        <v>0</v>
      </c>
      <c r="F14" s="2">
        <f t="shared" si="1"/>
        <v>0</v>
      </c>
      <c r="G14" s="2" t="str">
        <f t="shared" si="2"/>
        <v/>
      </c>
      <c r="H14" s="3" t="str">
        <f t="shared" si="3"/>
        <v/>
      </c>
      <c r="I14" s="4" t="str">
        <f t="shared" si="4"/>
        <v/>
      </c>
      <c r="J14" s="2"/>
      <c r="K14" s="2">
        <v>0</v>
      </c>
    </row>
    <row r="15" spans="1:11" x14ac:dyDescent="0.3">
      <c r="A15" s="2">
        <v>14</v>
      </c>
      <c r="B15" s="2">
        <v>0</v>
      </c>
      <c r="C15" s="2">
        <v>0</v>
      </c>
      <c r="D15" s="2">
        <v>0</v>
      </c>
      <c r="E15" s="2">
        <f t="shared" si="0"/>
        <v>0</v>
      </c>
      <c r="F15" s="2">
        <f t="shared" si="1"/>
        <v>0</v>
      </c>
      <c r="G15" s="2" t="str">
        <f t="shared" si="2"/>
        <v/>
      </c>
      <c r="H15" s="3" t="str">
        <f t="shared" si="3"/>
        <v/>
      </c>
      <c r="I15" s="4" t="str">
        <f t="shared" si="4"/>
        <v/>
      </c>
      <c r="J15" s="2"/>
      <c r="K15" s="2">
        <v>0</v>
      </c>
    </row>
    <row r="16" spans="1:11" x14ac:dyDescent="0.3">
      <c r="A16" s="2">
        <v>15</v>
      </c>
      <c r="B16" s="2">
        <v>0</v>
      </c>
      <c r="C16" s="2">
        <v>0</v>
      </c>
      <c r="D16" s="2">
        <v>0</v>
      </c>
      <c r="E16" s="2">
        <f t="shared" si="0"/>
        <v>0</v>
      </c>
      <c r="F16" s="2">
        <f t="shared" si="1"/>
        <v>0</v>
      </c>
      <c r="G16" s="2" t="str">
        <f t="shared" si="2"/>
        <v/>
      </c>
      <c r="H16" s="3" t="str">
        <f t="shared" si="3"/>
        <v/>
      </c>
      <c r="I16" s="4" t="str">
        <f t="shared" si="4"/>
        <v/>
      </c>
      <c r="J16" s="2"/>
      <c r="K16" s="2">
        <v>0</v>
      </c>
    </row>
    <row r="17" spans="1:11" x14ac:dyDescent="0.3">
      <c r="A17" s="2">
        <v>16</v>
      </c>
      <c r="B17" s="2">
        <v>0</v>
      </c>
      <c r="C17" s="2">
        <v>0</v>
      </c>
      <c r="D17" s="2">
        <v>0</v>
      </c>
      <c r="E17" s="2">
        <f t="shared" si="0"/>
        <v>0</v>
      </c>
      <c r="F17" s="2">
        <f t="shared" si="1"/>
        <v>0</v>
      </c>
      <c r="G17" s="2" t="str">
        <f t="shared" si="2"/>
        <v/>
      </c>
      <c r="H17" s="3" t="str">
        <f t="shared" si="3"/>
        <v/>
      </c>
      <c r="I17" s="4" t="str">
        <f t="shared" si="4"/>
        <v/>
      </c>
      <c r="J17" s="2"/>
      <c r="K17" s="2">
        <v>0</v>
      </c>
    </row>
    <row r="18" spans="1:11" x14ac:dyDescent="0.3">
      <c r="A18" s="2">
        <v>17</v>
      </c>
      <c r="B18" s="2">
        <v>0</v>
      </c>
      <c r="C18" s="2">
        <v>0</v>
      </c>
      <c r="D18" s="2">
        <v>0</v>
      </c>
      <c r="E18" s="2">
        <f t="shared" si="0"/>
        <v>0</v>
      </c>
      <c r="F18" s="2">
        <f t="shared" si="1"/>
        <v>0</v>
      </c>
      <c r="G18" s="2" t="str">
        <f t="shared" si="2"/>
        <v/>
      </c>
      <c r="H18" s="3" t="str">
        <f t="shared" si="3"/>
        <v/>
      </c>
      <c r="I18" s="4" t="str">
        <f t="shared" si="4"/>
        <v/>
      </c>
      <c r="J18" s="2"/>
      <c r="K18" s="2">
        <v>0</v>
      </c>
    </row>
    <row r="19" spans="1:11" x14ac:dyDescent="0.3">
      <c r="A19" s="2">
        <v>18</v>
      </c>
      <c r="B19" s="2">
        <v>0</v>
      </c>
      <c r="C19" s="2">
        <v>0</v>
      </c>
      <c r="D19" s="2">
        <v>0</v>
      </c>
      <c r="E19" s="2">
        <f t="shared" si="0"/>
        <v>0</v>
      </c>
      <c r="F19" s="2">
        <f t="shared" si="1"/>
        <v>0</v>
      </c>
      <c r="G19" s="2" t="str">
        <f t="shared" si="2"/>
        <v/>
      </c>
      <c r="H19" s="3" t="str">
        <f t="shared" si="3"/>
        <v/>
      </c>
      <c r="I19" s="4" t="str">
        <f t="shared" si="4"/>
        <v/>
      </c>
      <c r="J19" s="2"/>
      <c r="K19" s="2">
        <v>0</v>
      </c>
    </row>
    <row r="20" spans="1:11" x14ac:dyDescent="0.3">
      <c r="A20" s="2">
        <v>19</v>
      </c>
      <c r="B20" s="2">
        <v>0</v>
      </c>
      <c r="C20" s="2">
        <v>0</v>
      </c>
      <c r="D20" s="2">
        <v>0</v>
      </c>
      <c r="E20" s="2">
        <f t="shared" si="0"/>
        <v>0</v>
      </c>
      <c r="F20" s="2">
        <f t="shared" si="1"/>
        <v>0</v>
      </c>
      <c r="G20" s="2" t="str">
        <f t="shared" si="2"/>
        <v/>
      </c>
      <c r="H20" s="3" t="str">
        <f t="shared" si="3"/>
        <v/>
      </c>
      <c r="I20" s="4" t="str">
        <f t="shared" si="4"/>
        <v/>
      </c>
      <c r="J20" s="2"/>
      <c r="K20" s="2">
        <v>0</v>
      </c>
    </row>
    <row r="21" spans="1:11" x14ac:dyDescent="0.3">
      <c r="A21" s="2">
        <v>20</v>
      </c>
      <c r="B21" s="2">
        <v>0</v>
      </c>
      <c r="C21" s="2">
        <v>0</v>
      </c>
      <c r="D21" s="2">
        <v>0</v>
      </c>
      <c r="E21" s="2">
        <f t="shared" si="0"/>
        <v>0</v>
      </c>
      <c r="F21" s="2">
        <f t="shared" si="1"/>
        <v>0</v>
      </c>
      <c r="G21" s="2" t="str">
        <f t="shared" si="2"/>
        <v/>
      </c>
      <c r="H21" s="3" t="str">
        <f t="shared" si="3"/>
        <v/>
      </c>
      <c r="I21" s="4" t="str">
        <f t="shared" si="4"/>
        <v/>
      </c>
      <c r="J21" s="2"/>
      <c r="K21" s="2">
        <v>0</v>
      </c>
    </row>
    <row r="22" spans="1:11" x14ac:dyDescent="0.3">
      <c r="A22" s="2">
        <v>21</v>
      </c>
      <c r="B22" s="2">
        <v>0</v>
      </c>
      <c r="C22" s="2">
        <v>0</v>
      </c>
      <c r="D22" s="2">
        <v>0</v>
      </c>
      <c r="E22" s="2">
        <f t="shared" si="0"/>
        <v>0</v>
      </c>
      <c r="F22" s="2">
        <f t="shared" si="1"/>
        <v>0</v>
      </c>
      <c r="G22" s="2" t="str">
        <f t="shared" si="2"/>
        <v/>
      </c>
      <c r="H22" s="3" t="str">
        <f t="shared" si="3"/>
        <v/>
      </c>
      <c r="I22" s="4" t="str">
        <f t="shared" si="4"/>
        <v/>
      </c>
      <c r="J22" s="2"/>
      <c r="K22" s="2">
        <v>0</v>
      </c>
    </row>
    <row r="23" spans="1:11" x14ac:dyDescent="0.3">
      <c r="A23" s="2">
        <v>22</v>
      </c>
      <c r="B23" s="2">
        <v>0</v>
      </c>
      <c r="C23" s="2">
        <v>0</v>
      </c>
      <c r="D23" s="2">
        <v>0</v>
      </c>
      <c r="E23" s="2">
        <f t="shared" si="0"/>
        <v>0</v>
      </c>
      <c r="F23" s="2">
        <f t="shared" si="1"/>
        <v>0</v>
      </c>
      <c r="G23" s="2" t="str">
        <f t="shared" si="2"/>
        <v/>
      </c>
      <c r="H23" s="3" t="str">
        <f t="shared" si="3"/>
        <v/>
      </c>
      <c r="I23" s="4" t="str">
        <f t="shared" si="4"/>
        <v/>
      </c>
      <c r="J23" s="2"/>
      <c r="K23" s="2">
        <v>0</v>
      </c>
    </row>
    <row r="24" spans="1:11" x14ac:dyDescent="0.3">
      <c r="A24" s="2">
        <v>23</v>
      </c>
      <c r="B24" s="2">
        <v>0</v>
      </c>
      <c r="C24" s="2">
        <v>0</v>
      </c>
      <c r="D24" s="2">
        <v>0</v>
      </c>
      <c r="E24" s="2">
        <f t="shared" si="0"/>
        <v>0</v>
      </c>
      <c r="F24" s="2">
        <f t="shared" si="1"/>
        <v>0</v>
      </c>
      <c r="G24" s="2" t="str">
        <f t="shared" si="2"/>
        <v/>
      </c>
      <c r="H24" s="3" t="str">
        <f t="shared" si="3"/>
        <v/>
      </c>
      <c r="I24" s="4" t="str">
        <f t="shared" si="4"/>
        <v/>
      </c>
      <c r="J24" s="2"/>
      <c r="K24" s="2">
        <v>0</v>
      </c>
    </row>
    <row r="25" spans="1:11" x14ac:dyDescent="0.3">
      <c r="A25" s="2">
        <v>24</v>
      </c>
      <c r="B25" s="2">
        <v>0</v>
      </c>
      <c r="C25" s="2">
        <v>0</v>
      </c>
      <c r="D25" s="2">
        <v>0</v>
      </c>
      <c r="E25" s="2">
        <f t="shared" si="0"/>
        <v>0</v>
      </c>
      <c r="F25" s="2">
        <f t="shared" si="1"/>
        <v>0</v>
      </c>
      <c r="G25" s="2" t="str">
        <f t="shared" si="2"/>
        <v/>
      </c>
      <c r="H25" s="3" t="str">
        <f t="shared" si="3"/>
        <v/>
      </c>
      <c r="I25" s="4" t="str">
        <f t="shared" si="4"/>
        <v/>
      </c>
      <c r="J25" s="2"/>
      <c r="K25" s="2">
        <v>0</v>
      </c>
    </row>
    <row r="26" spans="1:11" x14ac:dyDescent="0.3">
      <c r="A26" s="2">
        <v>25</v>
      </c>
      <c r="B26" s="2">
        <v>0</v>
      </c>
      <c r="C26" s="2">
        <v>0</v>
      </c>
      <c r="D26" s="2">
        <v>0</v>
      </c>
      <c r="E26" s="2">
        <f t="shared" si="0"/>
        <v>0</v>
      </c>
      <c r="F26" s="2">
        <f t="shared" si="1"/>
        <v>0</v>
      </c>
      <c r="G26" s="2" t="str">
        <f t="shared" si="2"/>
        <v/>
      </c>
      <c r="H26" s="3" t="str">
        <f t="shared" si="3"/>
        <v/>
      </c>
      <c r="I26" s="4" t="str">
        <f t="shared" si="4"/>
        <v/>
      </c>
      <c r="J26" s="2"/>
      <c r="K26" s="2">
        <v>0</v>
      </c>
    </row>
    <row r="27" spans="1:11" x14ac:dyDescent="0.3">
      <c r="A27" s="2">
        <v>26</v>
      </c>
      <c r="B27" s="2">
        <v>0</v>
      </c>
      <c r="C27" s="2">
        <v>0</v>
      </c>
      <c r="D27" s="2">
        <v>0</v>
      </c>
      <c r="E27" s="2">
        <f t="shared" si="0"/>
        <v>0</v>
      </c>
      <c r="F27" s="2">
        <f t="shared" si="1"/>
        <v>0</v>
      </c>
      <c r="G27" s="2" t="str">
        <f t="shared" si="2"/>
        <v/>
      </c>
      <c r="H27" s="3" t="str">
        <f t="shared" si="3"/>
        <v/>
      </c>
      <c r="I27" s="4" t="str">
        <f t="shared" si="4"/>
        <v/>
      </c>
      <c r="J27" s="2"/>
      <c r="K27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6.2" x14ac:dyDescent="0.3"/>
  <sheetData>
    <row r="1" spans="1:2" x14ac:dyDescent="0.3">
      <c r="A1" s="1" t="s">
        <v>11</v>
      </c>
      <c r="B1" s="1" t="s">
        <v>12</v>
      </c>
    </row>
    <row r="2" spans="1:2" ht="64.8" x14ac:dyDescent="0.3">
      <c r="A2" s="2" t="s">
        <v>13</v>
      </c>
      <c r="B2" s="2">
        <f>SUM('Stock Plan'!D2:D27)</f>
        <v>0</v>
      </c>
    </row>
    <row r="3" spans="1:2" ht="48.6" x14ac:dyDescent="0.3">
      <c r="A3" s="2" t="s">
        <v>14</v>
      </c>
      <c r="B3" s="2">
        <f>SUM('Stock Plan'!C2:C27)</f>
        <v>0</v>
      </c>
    </row>
    <row r="4" spans="1:2" ht="64.8" x14ac:dyDescent="0.3">
      <c r="A4" s="2" t="s">
        <v>15</v>
      </c>
      <c r="B4" s="2">
        <f>'Stock Plan'!E27</f>
        <v>0</v>
      </c>
    </row>
    <row r="5" spans="1:2" ht="32.4" x14ac:dyDescent="0.3">
      <c r="A5" s="2" t="s">
        <v>16</v>
      </c>
      <c r="B5" s="5">
        <f>IFERROR(AVERAGE('Stock Plan'!G2:G27),0)</f>
        <v>0</v>
      </c>
    </row>
    <row r="6" spans="1:2" ht="48.6" x14ac:dyDescent="0.3">
      <c r="A6" s="2" t="s">
        <v>17</v>
      </c>
      <c r="B6" s="3">
        <f>IFERROR(AVERAGE('Stock Plan'!H2:H27),0)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6.2" x14ac:dyDescent="0.3"/>
  <cols>
    <col min="1" max="1" width="10" customWidth="1"/>
    <col min="2" max="2" width="90" customWidth="1"/>
  </cols>
  <sheetData>
    <row r="1" spans="1:2" x14ac:dyDescent="0.3">
      <c r="A1" s="2" t="s">
        <v>18</v>
      </c>
      <c r="B1" s="2" t="s">
        <v>19</v>
      </c>
    </row>
    <row r="2" spans="1:2" x14ac:dyDescent="0.3">
      <c r="A2" s="2">
        <v>1</v>
      </c>
      <c r="B2" s="2" t="s">
        <v>20</v>
      </c>
    </row>
    <row r="3" spans="1:2" x14ac:dyDescent="0.3">
      <c r="A3" s="2">
        <v>2</v>
      </c>
      <c r="B3" s="2" t="s">
        <v>21</v>
      </c>
    </row>
    <row r="4" spans="1:2" x14ac:dyDescent="0.3">
      <c r="A4" s="2">
        <v>3</v>
      </c>
      <c r="B4" s="2" t="s">
        <v>22</v>
      </c>
    </row>
    <row r="5" spans="1:2" x14ac:dyDescent="0.3">
      <c r="A5" s="2">
        <v>4</v>
      </c>
      <c r="B5" s="2" t="s">
        <v>23</v>
      </c>
    </row>
    <row r="6" spans="1:2" x14ac:dyDescent="0.3">
      <c r="A6" s="2">
        <v>5</v>
      </c>
      <c r="B6" s="2" t="s">
        <v>24</v>
      </c>
    </row>
    <row r="7" spans="1:2" x14ac:dyDescent="0.3">
      <c r="A7" s="2">
        <v>6</v>
      </c>
      <c r="B7" s="2" t="s">
        <v>25</v>
      </c>
    </row>
    <row r="8" spans="1:2" x14ac:dyDescent="0.3">
      <c r="A8" s="2">
        <v>7</v>
      </c>
      <c r="B8" s="2" t="s">
        <v>26</v>
      </c>
    </row>
    <row r="9" spans="1:2" x14ac:dyDescent="0.3">
      <c r="A9" s="2">
        <v>8</v>
      </c>
      <c r="B9" s="2" t="s">
        <v>27</v>
      </c>
    </row>
    <row r="10" spans="1:2" x14ac:dyDescent="0.3">
      <c r="A10" s="2">
        <v>9</v>
      </c>
      <c r="B10" s="2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 Plan</vt:lpstr>
      <vt:lpstr>Stock Summary</vt:lpstr>
      <vt:lpstr>Exercise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RISHI TANDON</cp:lastModifiedBy>
  <dcterms:created xsi:type="dcterms:W3CDTF">2026-09-22T08:49:12Z</dcterms:created>
  <dcterms:modified xsi:type="dcterms:W3CDTF">2026-09-22T08:52:17Z</dcterms:modified>
</cp:coreProperties>
</file>