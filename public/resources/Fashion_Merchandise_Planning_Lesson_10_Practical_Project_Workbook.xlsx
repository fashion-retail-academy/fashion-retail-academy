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E11D5D07-94CC-4633-AF43-6BCF2C59E2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 Brief" sheetId="1" r:id="rId1"/>
    <sheet name="Sales Plan" sheetId="2" r:id="rId2"/>
    <sheet name="Category Plan" sheetId="3" r:id="rId3"/>
    <sheet name="26 Week WSSI" sheetId="4" r:id="rId4"/>
    <sheet name="OTB" sheetId="5" r:id="rId5"/>
    <sheet name="ROS WOS" sheetId="6" r:id="rId6"/>
    <sheet name="Assortment" sheetId="7" r:id="rId7"/>
    <sheet name="Size Curve" sheetId="8" r:id="rId8"/>
    <sheet name="Management Summary" sheetId="9" r:id="rId9"/>
    <sheet name="Exercise Gui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B10" i="9" s="1"/>
  <c r="B8" i="9"/>
  <c r="B5" i="9"/>
  <c r="B4" i="9"/>
  <c r="N8" i="8"/>
  <c r="M8" i="8"/>
  <c r="L8" i="8"/>
  <c r="K8" i="8"/>
  <c r="J8" i="8"/>
  <c r="I8" i="8"/>
  <c r="N7" i="8"/>
  <c r="M7" i="8"/>
  <c r="L7" i="8"/>
  <c r="K7" i="8"/>
  <c r="J7" i="8"/>
  <c r="I7" i="8"/>
  <c r="N6" i="8"/>
  <c r="M6" i="8"/>
  <c r="L6" i="8"/>
  <c r="K6" i="8"/>
  <c r="J6" i="8"/>
  <c r="I6" i="8"/>
  <c r="N5" i="8"/>
  <c r="M5" i="8"/>
  <c r="L5" i="8"/>
  <c r="K5" i="8"/>
  <c r="J5" i="8"/>
  <c r="I5" i="8"/>
  <c r="N4" i="8"/>
  <c r="M4" i="8"/>
  <c r="L4" i="8"/>
  <c r="K4" i="8"/>
  <c r="J4" i="8"/>
  <c r="I4" i="8"/>
  <c r="K9" i="7"/>
  <c r="J9" i="7"/>
  <c r="K8" i="7"/>
  <c r="J8" i="7"/>
  <c r="K7" i="7"/>
  <c r="J7" i="7"/>
  <c r="K6" i="7"/>
  <c r="J6" i="7"/>
  <c r="K5" i="7"/>
  <c r="J5" i="7"/>
  <c r="K4" i="7"/>
  <c r="J4" i="7"/>
  <c r="H13" i="6"/>
  <c r="F13" i="6"/>
  <c r="G13" i="6" s="1"/>
  <c r="E13" i="6"/>
  <c r="H12" i="6"/>
  <c r="F12" i="6"/>
  <c r="G12" i="6" s="1"/>
  <c r="E12" i="6"/>
  <c r="H11" i="6"/>
  <c r="F11" i="6"/>
  <c r="G11" i="6" s="1"/>
  <c r="E11" i="6"/>
  <c r="H10" i="6"/>
  <c r="F10" i="6"/>
  <c r="G10" i="6" s="1"/>
  <c r="E10" i="6"/>
  <c r="H9" i="6"/>
  <c r="F9" i="6"/>
  <c r="G9" i="6" s="1"/>
  <c r="E9" i="6"/>
  <c r="H8" i="6"/>
  <c r="F8" i="6"/>
  <c r="G8" i="6" s="1"/>
  <c r="E8" i="6"/>
  <c r="H7" i="6"/>
  <c r="F7" i="6"/>
  <c r="G7" i="6" s="1"/>
  <c r="E7" i="6"/>
  <c r="H6" i="6"/>
  <c r="F6" i="6"/>
  <c r="G6" i="6" s="1"/>
  <c r="E6" i="6"/>
  <c r="H5" i="6"/>
  <c r="F5" i="6"/>
  <c r="G5" i="6" s="1"/>
  <c r="E5" i="6"/>
  <c r="H4" i="6"/>
  <c r="F4" i="6"/>
  <c r="G4" i="6" s="1"/>
  <c r="E4" i="6"/>
  <c r="B15" i="5"/>
  <c r="F15" i="5" s="1"/>
  <c r="B13" i="5"/>
  <c r="F13" i="5" s="1"/>
  <c r="B12" i="5"/>
  <c r="F12" i="5" s="1"/>
  <c r="B11" i="5"/>
  <c r="F11" i="5" s="1"/>
  <c r="B9" i="5"/>
  <c r="F9" i="5" s="1"/>
  <c r="B8" i="5"/>
  <c r="F8" i="5" s="1"/>
  <c r="B7" i="5"/>
  <c r="F7" i="5" s="1"/>
  <c r="B5" i="5"/>
  <c r="F5" i="5" s="1"/>
  <c r="B4" i="5"/>
  <c r="F4" i="5" s="1"/>
  <c r="J29" i="4"/>
  <c r="D29" i="4"/>
  <c r="E29" i="4" s="1"/>
  <c r="J28" i="4"/>
  <c r="D28" i="4"/>
  <c r="E28" i="4" s="1"/>
  <c r="J27" i="4"/>
  <c r="D27" i="4"/>
  <c r="E27" i="4" s="1"/>
  <c r="J26" i="4"/>
  <c r="D26" i="4"/>
  <c r="E26" i="4" s="1"/>
  <c r="J25" i="4"/>
  <c r="D25" i="4"/>
  <c r="E25" i="4" s="1"/>
  <c r="J24" i="4"/>
  <c r="D24" i="4"/>
  <c r="E24" i="4" s="1"/>
  <c r="J23" i="4"/>
  <c r="D23" i="4"/>
  <c r="E23" i="4" s="1"/>
  <c r="J22" i="4"/>
  <c r="D22" i="4"/>
  <c r="E22" i="4" s="1"/>
  <c r="J21" i="4"/>
  <c r="D21" i="4"/>
  <c r="E21" i="4" s="1"/>
  <c r="J20" i="4"/>
  <c r="D20" i="4"/>
  <c r="E20" i="4" s="1"/>
  <c r="J19" i="4"/>
  <c r="D19" i="4"/>
  <c r="E19" i="4" s="1"/>
  <c r="J18" i="4"/>
  <c r="D18" i="4"/>
  <c r="E18" i="4" s="1"/>
  <c r="J17" i="4"/>
  <c r="D17" i="4"/>
  <c r="E17" i="4" s="1"/>
  <c r="J16" i="4"/>
  <c r="E16" i="4"/>
  <c r="D16" i="4"/>
  <c r="J15" i="4"/>
  <c r="D15" i="4"/>
  <c r="E15" i="4" s="1"/>
  <c r="J14" i="4"/>
  <c r="D14" i="4"/>
  <c r="E14" i="4" s="1"/>
  <c r="J13" i="4"/>
  <c r="D13" i="4"/>
  <c r="E13" i="4" s="1"/>
  <c r="J12" i="4"/>
  <c r="D12" i="4"/>
  <c r="E12" i="4" s="1"/>
  <c r="J11" i="4"/>
  <c r="D11" i="4"/>
  <c r="E11" i="4" s="1"/>
  <c r="J10" i="4"/>
  <c r="D10" i="4"/>
  <c r="E10" i="4" s="1"/>
  <c r="J9" i="4"/>
  <c r="D9" i="4"/>
  <c r="E9" i="4" s="1"/>
  <c r="J8" i="4"/>
  <c r="D8" i="4"/>
  <c r="E8" i="4" s="1"/>
  <c r="J7" i="4"/>
  <c r="D7" i="4"/>
  <c r="E7" i="4" s="1"/>
  <c r="J6" i="4"/>
  <c r="D6" i="4"/>
  <c r="E6" i="4" s="1"/>
  <c r="J5" i="4"/>
  <c r="D5" i="4"/>
  <c r="E5" i="4" s="1"/>
  <c r="J4" i="4"/>
  <c r="D4" i="4"/>
  <c r="E4" i="4" s="1"/>
  <c r="C4" i="4"/>
  <c r="F4" i="4" s="1"/>
  <c r="C5" i="4" s="1"/>
  <c r="F5" i="4" s="1"/>
  <c r="C6" i="4" s="1"/>
  <c r="G8" i="3"/>
  <c r="F8" i="3"/>
  <c r="C8" i="3"/>
  <c r="E8" i="3" s="1"/>
  <c r="G7" i="3"/>
  <c r="F7" i="3"/>
  <c r="C7" i="3"/>
  <c r="E7" i="3" s="1"/>
  <c r="G6" i="3"/>
  <c r="F6" i="3"/>
  <c r="C6" i="3"/>
  <c r="E6" i="3" s="1"/>
  <c r="G5" i="3"/>
  <c r="F5" i="3"/>
  <c r="C5" i="3"/>
  <c r="E5" i="3" s="1"/>
  <c r="G4" i="3"/>
  <c r="F4" i="3"/>
  <c r="C4" i="3"/>
  <c r="E4" i="3" s="1"/>
  <c r="D16" i="2"/>
  <c r="H15" i="2"/>
  <c r="B15" i="2"/>
  <c r="F15" i="2" s="1"/>
  <c r="H14" i="2"/>
  <c r="B14" i="2"/>
  <c r="B14" i="5" s="1"/>
  <c r="F14" i="5" s="1"/>
  <c r="H13" i="2"/>
  <c r="F13" i="2"/>
  <c r="B13" i="2"/>
  <c r="E13" i="2" s="1"/>
  <c r="H12" i="2"/>
  <c r="B12" i="2"/>
  <c r="F12" i="2" s="1"/>
  <c r="H11" i="2"/>
  <c r="B11" i="2"/>
  <c r="F11" i="2" s="1"/>
  <c r="H10" i="2"/>
  <c r="B10" i="2"/>
  <c r="B10" i="5" s="1"/>
  <c r="F10" i="5" s="1"/>
  <c r="H9" i="2"/>
  <c r="F9" i="2"/>
  <c r="B9" i="2"/>
  <c r="E9" i="2" s="1"/>
  <c r="H8" i="2"/>
  <c r="B8" i="2"/>
  <c r="F8" i="2" s="1"/>
  <c r="H7" i="2"/>
  <c r="B7" i="2"/>
  <c r="F7" i="2" s="1"/>
  <c r="H6" i="2"/>
  <c r="B6" i="2"/>
  <c r="B6" i="5" s="1"/>
  <c r="F6" i="5" s="1"/>
  <c r="H5" i="2"/>
  <c r="H16" i="2" s="1"/>
  <c r="F5" i="2"/>
  <c r="B5" i="2"/>
  <c r="E5" i="2" s="1"/>
  <c r="H4" i="2"/>
  <c r="B4" i="2"/>
  <c r="E4" i="2" s="1"/>
  <c r="J14" i="5" l="1"/>
  <c r="H14" i="5"/>
  <c r="J13" i="5"/>
  <c r="H13" i="5"/>
  <c r="J15" i="5"/>
  <c r="H15" i="5"/>
  <c r="F6" i="4"/>
  <c r="C7" i="4" s="1"/>
  <c r="F7" i="4" s="1"/>
  <c r="C8" i="4" s="1"/>
  <c r="F8" i="4" s="1"/>
  <c r="C9" i="4" s="1"/>
  <c r="F9" i="4" s="1"/>
  <c r="C10" i="4" s="1"/>
  <c r="F10" i="4" s="1"/>
  <c r="C11" i="4" s="1"/>
  <c r="F11" i="4" s="1"/>
  <c r="C12" i="4" s="1"/>
  <c r="F12" i="4" s="1"/>
  <c r="C13" i="4" s="1"/>
  <c r="F13" i="4" s="1"/>
  <c r="C14" i="4" s="1"/>
  <c r="F14" i="4" s="1"/>
  <c r="C15" i="4" s="1"/>
  <c r="F15" i="4" s="1"/>
  <c r="C16" i="4" s="1"/>
  <c r="F16" i="4" s="1"/>
  <c r="C17" i="4" s="1"/>
  <c r="F17" i="4" s="1"/>
  <c r="C18" i="4" s="1"/>
  <c r="F18" i="4" s="1"/>
  <c r="C19" i="4" s="1"/>
  <c r="F19" i="4" s="1"/>
  <c r="C20" i="4" s="1"/>
  <c r="F20" i="4" s="1"/>
  <c r="C21" i="4" s="1"/>
  <c r="F21" i="4" s="1"/>
  <c r="C22" i="4" s="1"/>
  <c r="F22" i="4" s="1"/>
  <c r="C23" i="4" s="1"/>
  <c r="F23" i="4" s="1"/>
  <c r="C24" i="4" s="1"/>
  <c r="F24" i="4" s="1"/>
  <c r="C25" i="4" s="1"/>
  <c r="F25" i="4" s="1"/>
  <c r="C26" i="4" s="1"/>
  <c r="F26" i="4" s="1"/>
  <c r="C27" i="4" s="1"/>
  <c r="F27" i="4" s="1"/>
  <c r="C28" i="4" s="1"/>
  <c r="F28" i="4" s="1"/>
  <c r="C29" i="4" s="1"/>
  <c r="F29" i="4" s="1"/>
  <c r="J10" i="5"/>
  <c r="H10" i="5"/>
  <c r="J5" i="5"/>
  <c r="H5" i="5"/>
  <c r="B7" i="9"/>
  <c r="J7" i="5"/>
  <c r="H7" i="5"/>
  <c r="J11" i="5"/>
  <c r="H11" i="5"/>
  <c r="J12" i="5"/>
  <c r="H12" i="5"/>
  <c r="J8" i="5"/>
  <c r="H8" i="5"/>
  <c r="J4" i="5"/>
  <c r="H4" i="5"/>
  <c r="J6" i="5"/>
  <c r="H6" i="5"/>
  <c r="H9" i="5"/>
  <c r="J9" i="5"/>
  <c r="E10" i="2"/>
  <c r="F6" i="2"/>
  <c r="F10" i="2"/>
  <c r="F14" i="2"/>
  <c r="E11" i="2"/>
  <c r="E8" i="2"/>
  <c r="E12" i="2"/>
  <c r="F4" i="2"/>
  <c r="E6" i="2"/>
  <c r="E14" i="2"/>
  <c r="E7" i="2"/>
  <c r="E15" i="2"/>
  <c r="B6" i="9"/>
  <c r="B16" i="2"/>
  <c r="F16" i="2" l="1"/>
</calcChain>
</file>

<file path=xl/sharedStrings.xml><?xml version="1.0" encoding="utf-8"?>
<sst xmlns="http://schemas.openxmlformats.org/spreadsheetml/2006/main" count="282" uniqueCount="169">
  <si>
    <t>Lesson 10 — Practical Merchandise Planning Project</t>
  </si>
  <si>
    <t>Objective</t>
  </si>
  <si>
    <t>Build an end-to-end merchandise plan using the concepts from Lessons 1–9.</t>
  </si>
  <si>
    <t>Annual Sales Target</t>
  </si>
  <si>
    <t>Gross Margin %</t>
  </si>
  <si>
    <t>Opening Inventory</t>
  </si>
  <si>
    <t>Desired Closing Inventory</t>
  </si>
  <si>
    <t>Planning Horizon (weeks)</t>
  </si>
  <si>
    <t>Sales Plan</t>
  </si>
  <si>
    <t>Month</t>
  </si>
  <si>
    <t>Plan Sales ₹</t>
  </si>
  <si>
    <t>Phasing %</t>
  </si>
  <si>
    <t>Actual Sales ₹</t>
  </si>
  <si>
    <t>Achievement %</t>
  </si>
  <si>
    <t>Variance ₹</t>
  </si>
  <si>
    <t>ASP ₹</t>
  </si>
  <si>
    <t>Units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</si>
  <si>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</si>
  <si>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</si>
  <si>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</si>
  <si>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</si>
  <si>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</si>
  <si>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</si>
  <si>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</si>
  <si>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</si>
  <si>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</si>
  <si>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</si>
  <si>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</si>
  <si>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</si>
  <si>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</si>
  <si>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Category Plan</t>
  </si>
  <si>
    <t>Category</t>
  </si>
  <si>
    <t>Sales Mix %</t>
  </si>
  <si>
    <t>Sales Plan ₹</t>
  </si>
  <si>
    <t>Units Plan</t>
  </si>
  <si>
    <t>Opening Stock ₹</t>
  </si>
  <si>
    <t>Closing Stock Target ₹</t>
  </si>
  <si>
    <t>Action / Comment</t>
  </si>
  <si>
    <t>Shirts</t>
  </si>
  <si>
    <t>Review</t>
  </si>
  <si>
    <t>Polos</t>
  </si>
  <si>
    <t>T-shirts</t>
  </si>
  <si>
    <t>Trousers</t>
  </si>
  <si>
    <t>Denim</t>
  </si>
  <si>
    <t>26-Week WSSI</t>
  </si>
  <si>
    <t>Week</t>
  </si>
  <si>
    <t>Phase</t>
  </si>
  <si>
    <t>Receipts Plan ₹</t>
  </si>
  <si>
    <t>Closing Stock Plan ₹</t>
  </si>
  <si>
    <t>Actual Receipts ₹</t>
  </si>
  <si>
    <t>Actual Closing ₹</t>
  </si>
  <si>
    <t>WOS</t>
  </si>
  <si>
    <t>Action</t>
  </si>
  <si>
    <t>Normal</t>
  </si>
  <si>
    <t>Peak</t>
  </si>
  <si>
    <t>EOSS</t>
  </si>
  <si>
    <t>Open to Buy (OTB)</t>
  </si>
  <si>
    <t>Planned Sales ₹</t>
  </si>
  <si>
    <t>Desired Closing Stock ₹</t>
  </si>
  <si>
    <t>Committed Receipts ₹</t>
  </si>
  <si>
    <t>OTB Retail ₹</t>
  </si>
  <si>
    <t>Cost-to-Retail %</t>
  </si>
  <si>
    <t>OTB Cost ₹</t>
  </si>
  <si>
    <t>Actual Orders ₹</t>
  </si>
  <si>
    <t>Remaining OTB ₹</t>
  </si>
  <si>
    <t>ROS / WOS / Sell-Through</t>
  </si>
  <si>
    <t>Product</t>
  </si>
  <si>
    <t>Opening Units</t>
  </si>
  <si>
    <t>Receipts Units</t>
  </si>
  <si>
    <t>Units Sold</t>
  </si>
  <si>
    <t>ROS / Week</t>
  </si>
  <si>
    <t>Closing Units</t>
  </si>
  <si>
    <t>Sell-Through %</t>
  </si>
  <si>
    <t>Formal Shirt</t>
  </si>
  <si>
    <t>Casual Shirt</t>
  </si>
  <si>
    <t>Polo</t>
  </si>
  <si>
    <t>Graphic T-shirt</t>
  </si>
  <si>
    <t>Basic T-shirt</t>
  </si>
  <si>
    <t>Trouser</t>
  </si>
  <si>
    <t>Chino</t>
  </si>
  <si>
    <t>Jacket</t>
  </si>
  <si>
    <t>Shacket</t>
  </si>
  <si>
    <t>Assortment Plan</t>
  </si>
  <si>
    <t>Sub-category</t>
  </si>
  <si>
    <t>Product / Option</t>
  </si>
  <si>
    <t>Role</t>
  </si>
  <si>
    <t>Colour</t>
  </si>
  <si>
    <t>Size</t>
  </si>
  <si>
    <t>Price ₹</t>
  </si>
  <si>
    <t>Planned Options</t>
  </si>
  <si>
    <t>Planned Units</t>
  </si>
  <si>
    <t>Units / Option</t>
  </si>
  <si>
    <t>Formal</t>
  </si>
  <si>
    <t>Easy-Iron Shirt</t>
  </si>
  <si>
    <t>Core</t>
  </si>
  <si>
    <t>White</t>
  </si>
  <si>
    <t>M-L-XL</t>
  </si>
  <si>
    <t>Core depth</t>
  </si>
  <si>
    <t>Casual</t>
  </si>
  <si>
    <t>Oxford Shirt</t>
  </si>
  <si>
    <t>Blue</t>
  </si>
  <si>
    <t>Basic</t>
  </si>
  <si>
    <t>Pique Polo</t>
  </si>
  <si>
    <t>Navy</t>
  </si>
  <si>
    <t>Repeat</t>
  </si>
  <si>
    <t>Crew Neck</t>
  </si>
  <si>
    <t>Slim Chino</t>
  </si>
  <si>
    <t>Beige</t>
  </si>
  <si>
    <t>30-32-34-36</t>
  </si>
  <si>
    <t>Size depth</t>
  </si>
  <si>
    <t>Regular</t>
  </si>
  <si>
    <t>Regular Denim</t>
  </si>
  <si>
    <t>Indigo</t>
  </si>
  <si>
    <t>Depth</t>
  </si>
  <si>
    <t>Size Curve</t>
  </si>
  <si>
    <t>XS %</t>
  </si>
  <si>
    <t>S %</t>
  </si>
  <si>
    <t>M %</t>
  </si>
  <si>
    <t>L %</t>
  </si>
  <si>
    <t>XL %</t>
  </si>
  <si>
    <t>XXL %</t>
  </si>
  <si>
    <t>Total Units</t>
  </si>
  <si>
    <t>XS Units</t>
  </si>
  <si>
    <t>S Units</t>
  </si>
  <si>
    <t>M Units</t>
  </si>
  <si>
    <t>L Units</t>
  </si>
  <si>
    <t>XL Units</t>
  </si>
  <si>
    <t>XXL Units</t>
  </si>
  <si>
    <t>T-shirt</t>
  </si>
  <si>
    <t>Shirt</t>
  </si>
  <si>
    <t>Management Summary</t>
  </si>
  <si>
    <t>Sales Target</t>
  </si>
  <si>
    <t>Gross Margin ₹</t>
  </si>
  <si>
    <t>COGS ₹</t>
  </si>
  <si>
    <t>Opening Inventory ₹</t>
  </si>
  <si>
    <t>Closing Inventory Target ₹</t>
  </si>
  <si>
    <t>Illustrative Inventory Change ₹</t>
  </si>
  <si>
    <t>Management Observation</t>
  </si>
  <si>
    <t>Complete after reviewing the worksheets</t>
  </si>
  <si>
    <t>Action 1</t>
  </si>
  <si>
    <t>Action 2</t>
  </si>
  <si>
    <t>Action 3</t>
  </si>
  <si>
    <t>Exercise Guide</t>
  </si>
  <si>
    <t>Step</t>
  </si>
  <si>
    <t>Exercise</t>
  </si>
  <si>
    <t>What to do</t>
  </si>
  <si>
    <t>1</t>
  </si>
  <si>
    <t>Complete the Sales Plan</t>
  </si>
  <si>
    <t>Enter actual sales and analyse achievement and variance.</t>
  </si>
  <si>
    <t>2</t>
  </si>
  <si>
    <t>Complete Category Plan</t>
  </si>
  <si>
    <t>Review mix, ASP, units and stock allocation.</t>
  </si>
  <si>
    <t>3</t>
  </si>
  <si>
    <t>Complete 26-Week WSSI</t>
  </si>
  <si>
    <t>Enter actual sales/receipts and identify stock risks.</t>
  </si>
  <si>
    <t>4</t>
  </si>
  <si>
    <t>Complete OTB</t>
  </si>
  <si>
    <t>Enter actual orders and identify remaining OTB.</t>
  </si>
  <si>
    <t>5</t>
  </si>
  <si>
    <t>Analyse ROS/WOS</t>
  </si>
  <si>
    <t>Identify products needing action.</t>
  </si>
  <si>
    <t>6</t>
  </si>
  <si>
    <t>Build Assortment</t>
  </si>
  <si>
    <t>Review options, depth, price, colour and size mix.</t>
  </si>
  <si>
    <t>7</t>
  </si>
  <si>
    <t>Review Size Curve</t>
  </si>
  <si>
    <t>Adjust size percentages using your assumed customer demand.</t>
  </si>
  <si>
    <t>8</t>
  </si>
  <si>
    <t>Write three commercial actions based on your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</si>
</sst>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3" fillId="2" borderId="1" xfId="0" applyFont="1" applyFill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3" topLeftCell="A4" activePane="bottomLeft" state="frozen"/>
      <selection pane="bottomLeft"/>
    </sheetView>
  </sheetViews>
  <sheetFormatPr defaultRowHeight="16.2" x14ac:dyDescent="0.3"/>
  <cols>
    <col min="1" max="8" width="22" customWidth="1"/>
  </cols>
  <sheetData>
    <row r="1" spans="1:8" ht="24" x14ac:dyDescent="0.3">
      <c r="A1" s="8" t="s">
        <v>0</v>
      </c>
      <c r="B1" s="9"/>
      <c r="C1" s="9"/>
      <c r="D1" s="9"/>
      <c r="E1" s="9"/>
      <c r="F1" s="9"/>
      <c r="G1" s="9"/>
      <c r="H1" s="9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2" t="s">
        <v>1</v>
      </c>
      <c r="B3" s="2" t="s">
        <v>2</v>
      </c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3" t="s">
        <v>3</v>
      </c>
      <c r="B5" s="4">
        <v>100000000</v>
      </c>
      <c r="C5" s="2"/>
      <c r="D5" s="2"/>
      <c r="E5" s="2"/>
      <c r="F5" s="2"/>
      <c r="G5" s="2"/>
      <c r="H5" s="2"/>
    </row>
    <row r="6" spans="1:8" x14ac:dyDescent="0.3">
      <c r="A6" s="3" t="s">
        <v>4</v>
      </c>
      <c r="B6" s="5">
        <v>0.6</v>
      </c>
      <c r="C6" s="2"/>
      <c r="D6" s="2"/>
      <c r="E6" s="2"/>
      <c r="F6" s="2"/>
      <c r="G6" s="2"/>
      <c r="H6" s="2"/>
    </row>
    <row r="7" spans="1:8" x14ac:dyDescent="0.3">
      <c r="A7" s="3" t="s">
        <v>5</v>
      </c>
      <c r="B7" s="4">
        <v>25000000</v>
      </c>
      <c r="C7" s="2"/>
      <c r="D7" s="2"/>
      <c r="E7" s="2"/>
      <c r="F7" s="2"/>
      <c r="G7" s="2"/>
      <c r="H7" s="2"/>
    </row>
    <row r="8" spans="1:8" x14ac:dyDescent="0.3">
      <c r="A8" s="3" t="s">
        <v>6</v>
      </c>
      <c r="B8" s="4">
        <v>30000000</v>
      </c>
      <c r="C8" s="2"/>
      <c r="D8" s="2"/>
      <c r="E8" s="2"/>
      <c r="F8" s="2"/>
      <c r="G8" s="2"/>
      <c r="H8" s="2"/>
    </row>
    <row r="9" spans="1:8" x14ac:dyDescent="0.3">
      <c r="A9" s="3" t="s">
        <v>7</v>
      </c>
      <c r="B9" s="4">
        <v>26</v>
      </c>
      <c r="C9" s="2"/>
      <c r="D9" s="2"/>
      <c r="E9" s="2"/>
      <c r="F9" s="2"/>
      <c r="G9" s="2"/>
      <c r="H9" s="2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8" width="15" customWidth="1"/>
  </cols>
  <sheetData>
    <row r="1" spans="1:8" ht="24" x14ac:dyDescent="0.3">
      <c r="A1" s="8" t="s">
        <v>8</v>
      </c>
      <c r="B1" s="9"/>
      <c r="C1" s="9"/>
      <c r="D1" s="9"/>
      <c r="E1" s="9"/>
      <c r="F1" s="9"/>
      <c r="G1" s="9"/>
      <c r="H1" s="9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</row>
    <row r="4" spans="1:8" x14ac:dyDescent="0.3">
      <c r="A4" s="2" t="s">
        <v>17</v>
      </c>
      <c r="B4" s="4">
        <f>'Project Brief'!$B$5*C4</f>
        <v>7000000.0000000009</v>
      </c>
      <c r="C4" s="7">
        <v>7.0000000000000007E-2</v>
      </c>
      <c r="D4" s="4"/>
      <c r="E4" s="7">
        <f t="shared" ref="E4:E15" si="0">IFERROR(D4/B4,0)</f>
        <v>0</v>
      </c>
      <c r="F4" s="4">
        <f t="shared" ref="F4:F15" si="1">D4-B4</f>
        <v>-7000000.0000000009</v>
      </c>
      <c r="G4" s="4">
        <v>8000</v>
      </c>
      <c r="H4" s="2">
        <f t="shared" ref="H4:H15" si="2">IFERROR(D4/G4,0)</f>
        <v>0</v>
      </c>
    </row>
    <row r="5" spans="1:8" x14ac:dyDescent="0.3">
      <c r="A5" s="2" t="s">
        <v>18</v>
      </c>
      <c r="B5" s="4">
        <f>'Project Brief'!$B$5*C5</f>
        <v>7000000.0000000009</v>
      </c>
      <c r="C5" s="7">
        <v>7.0000000000000007E-2</v>
      </c>
      <c r="D5" s="4"/>
      <c r="E5" s="7">
        <f t="shared" si="0"/>
        <v>0</v>
      </c>
      <c r="F5" s="4">
        <f t="shared" si="1"/>
        <v>-7000000.0000000009</v>
      </c>
      <c r="G5" s="4">
        <v>8000</v>
      </c>
      <c r="H5" s="2">
        <f t="shared" si="2"/>
        <v>0</v>
      </c>
    </row>
    <row r="6" spans="1:8" x14ac:dyDescent="0.3">
      <c r="A6" s="2" t="s">
        <v>19</v>
      </c>
      <c r="B6" s="4">
        <f>'Project Brief'!$B$5*C6</f>
        <v>7500000</v>
      </c>
      <c r="C6" s="7">
        <v>7.4999999999999997E-2</v>
      </c>
      <c r="D6" s="4"/>
      <c r="E6" s="7">
        <f t="shared" si="0"/>
        <v>0</v>
      </c>
      <c r="F6" s="4">
        <f t="shared" si="1"/>
        <v>-7500000</v>
      </c>
      <c r="G6" s="4">
        <v>8000</v>
      </c>
      <c r="H6" s="2">
        <f t="shared" si="2"/>
        <v>0</v>
      </c>
    </row>
    <row r="7" spans="1:8" x14ac:dyDescent="0.3">
      <c r="A7" s="2" t="s">
        <v>20</v>
      </c>
      <c r="B7" s="4">
        <f>'Project Brief'!$B$5*C7</f>
        <v>7500000</v>
      </c>
      <c r="C7" s="7">
        <v>7.4999999999999997E-2</v>
      </c>
      <c r="D7" s="4"/>
      <c r="E7" s="7">
        <f t="shared" si="0"/>
        <v>0</v>
      </c>
      <c r="F7" s="4">
        <f t="shared" si="1"/>
        <v>-7500000</v>
      </c>
      <c r="G7" s="4">
        <v>8000</v>
      </c>
      <c r="H7" s="2">
        <f t="shared" si="2"/>
        <v>0</v>
      </c>
    </row>
    <row r="8" spans="1:8" x14ac:dyDescent="0.3">
      <c r="A8" s="2" t="s">
        <v>21</v>
      </c>
      <c r="B8" s="4">
        <f>'Project Brief'!$B$5*C8</f>
        <v>8000000</v>
      </c>
      <c r="C8" s="7">
        <v>0.08</v>
      </c>
      <c r="D8" s="4"/>
      <c r="E8" s="7">
        <f t="shared" si="0"/>
        <v>0</v>
      </c>
      <c r="F8" s="4">
        <f t="shared" si="1"/>
        <v>-8000000</v>
      </c>
      <c r="G8" s="4">
        <v>8000</v>
      </c>
      <c r="H8" s="2">
        <f t="shared" si="2"/>
        <v>0</v>
      </c>
    </row>
    <row r="9" spans="1:8" x14ac:dyDescent="0.3">
      <c r="A9" s="2" t="s">
        <v>22</v>
      </c>
      <c r="B9" s="4">
        <f>'Project Brief'!$B$5*C9</f>
        <v>8000000</v>
      </c>
      <c r="C9" s="7">
        <v>0.08</v>
      </c>
      <c r="D9" s="4"/>
      <c r="E9" s="7">
        <f t="shared" si="0"/>
        <v>0</v>
      </c>
      <c r="F9" s="4">
        <f t="shared" si="1"/>
        <v>-8000000</v>
      </c>
      <c r="G9" s="4">
        <v>8000</v>
      </c>
      <c r="H9" s="2">
        <f t="shared" si="2"/>
        <v>0</v>
      </c>
    </row>
    <row r="10" spans="1:8" x14ac:dyDescent="0.3">
      <c r="A10" s="2" t="s">
        <v>23</v>
      </c>
      <c r="B10" s="4">
        <f>'Project Brief'!$B$5*C10</f>
        <v>8500000</v>
      </c>
      <c r="C10" s="7">
        <v>8.5000000000000006E-2</v>
      </c>
      <c r="D10" s="4"/>
      <c r="E10" s="7">
        <f t="shared" si="0"/>
        <v>0</v>
      </c>
      <c r="F10" s="4">
        <f t="shared" si="1"/>
        <v>-8500000</v>
      </c>
      <c r="G10" s="4">
        <v>8000</v>
      </c>
      <c r="H10" s="2">
        <f t="shared" si="2"/>
        <v>0</v>
      </c>
    </row>
    <row r="11" spans="1:8" x14ac:dyDescent="0.3">
      <c r="A11" s="2" t="s">
        <v>24</v>
      </c>
      <c r="B11" s="4">
        <f>'Project Brief'!$B$5*C11</f>
        <v>9000000</v>
      </c>
      <c r="C11" s="7">
        <v>0.09</v>
      </c>
      <c r="D11" s="4"/>
      <c r="E11" s="7">
        <f t="shared" si="0"/>
        <v>0</v>
      </c>
      <c r="F11" s="4">
        <f t="shared" si="1"/>
        <v>-9000000</v>
      </c>
      <c r="G11" s="4">
        <v>8000</v>
      </c>
      <c r="H11" s="2">
        <f t="shared" si="2"/>
        <v>0</v>
      </c>
    </row>
    <row r="12" spans="1:8" x14ac:dyDescent="0.3">
      <c r="A12" s="2" t="s">
        <v>25</v>
      </c>
      <c r="B12" s="4">
        <f>'Project Brief'!$B$5*C12</f>
        <v>10000000</v>
      </c>
      <c r="C12" s="7">
        <v>0.1</v>
      </c>
      <c r="D12" s="4"/>
      <c r="E12" s="7">
        <f t="shared" si="0"/>
        <v>0</v>
      </c>
      <c r="F12" s="4">
        <f t="shared" si="1"/>
        <v>-10000000</v>
      </c>
      <c r="G12" s="4">
        <v>8000</v>
      </c>
      <c r="H12" s="2">
        <f t="shared" si="2"/>
        <v>0</v>
      </c>
    </row>
    <row r="13" spans="1:8" x14ac:dyDescent="0.3">
      <c r="A13" s="2" t="s">
        <v>26</v>
      </c>
      <c r="B13" s="4">
        <f>'Project Brief'!$B$5*C13</f>
        <v>9000000</v>
      </c>
      <c r="C13" s="7">
        <v>0.09</v>
      </c>
      <c r="D13" s="4"/>
      <c r="E13" s="7">
        <f t="shared" si="0"/>
        <v>0</v>
      </c>
      <c r="F13" s="4">
        <f t="shared" si="1"/>
        <v>-9000000</v>
      </c>
      <c r="G13" s="4">
        <v>8000</v>
      </c>
      <c r="H13" s="2">
        <f t="shared" si="2"/>
        <v>0</v>
      </c>
    </row>
    <row r="14" spans="1:8" x14ac:dyDescent="0.3">
      <c r="A14" s="2" t="s">
        <v>27</v>
      </c>
      <c r="B14" s="4">
        <f>'Project Brief'!$B$5*C14</f>
        <v>8500000</v>
      </c>
      <c r="C14" s="7">
        <v>8.5000000000000006E-2</v>
      </c>
      <c r="D14" s="4"/>
      <c r="E14" s="7">
        <f t="shared" si="0"/>
        <v>0</v>
      </c>
      <c r="F14" s="4">
        <f t="shared" si="1"/>
        <v>-8500000</v>
      </c>
      <c r="G14" s="4">
        <v>8000</v>
      </c>
      <c r="H14" s="2">
        <f t="shared" si="2"/>
        <v>0</v>
      </c>
    </row>
    <row r="15" spans="1:8" x14ac:dyDescent="0.3">
      <c r="A15" s="2" t="s">
        <v>28</v>
      </c>
      <c r="B15" s="4">
        <f>'Project Brief'!$B$5*C15</f>
        <v>8500000</v>
      </c>
      <c r="C15" s="7">
        <v>8.5000000000000006E-2</v>
      </c>
      <c r="D15" s="4"/>
      <c r="E15" s="7">
        <f t="shared" si="0"/>
        <v>0</v>
      </c>
      <c r="F15" s="4">
        <f t="shared" si="1"/>
        <v>-8500000</v>
      </c>
      <c r="G15" s="4">
        <v>8000</v>
      </c>
      <c r="H15" s="2">
        <f t="shared" si="2"/>
        <v>0</v>
      </c>
    </row>
    <row r="16" spans="1:8" x14ac:dyDescent="0.3">
      <c r="A16" s="3" t="s">
        <v>29</v>
      </c>
      <c r="B16" s="4">
        <f>SUM(B4:B15)</f>
        <v>98500000</v>
      </c>
      <c r="C16" s="2"/>
      <c r="D16" s="4">
        <f>SUM(D4:D15)</f>
        <v>0</v>
      </c>
      <c r="E16" s="2"/>
      <c r="F16" s="4">
        <f>SUM(F4:F15)</f>
        <v>-98500000</v>
      </c>
      <c r="G16" s="4"/>
      <c r="H16" s="2">
        <f>SUM(H4:H15)</f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8" width="15" customWidth="1"/>
  </cols>
  <sheetData>
    <row r="1" spans="1:8" ht="24" x14ac:dyDescent="0.3">
      <c r="A1" s="8" t="s">
        <v>30</v>
      </c>
      <c r="B1" s="9"/>
      <c r="C1" s="9"/>
      <c r="D1" s="9"/>
      <c r="E1" s="9"/>
      <c r="F1" s="9"/>
      <c r="G1" s="9"/>
      <c r="H1" s="9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6" t="s">
        <v>31</v>
      </c>
      <c r="B3" s="6" t="s">
        <v>32</v>
      </c>
      <c r="C3" s="6" t="s">
        <v>33</v>
      </c>
      <c r="D3" s="6" t="s">
        <v>15</v>
      </c>
      <c r="E3" s="6" t="s">
        <v>34</v>
      </c>
      <c r="F3" s="6" t="s">
        <v>35</v>
      </c>
      <c r="G3" s="6" t="s">
        <v>36</v>
      </c>
      <c r="H3" s="6" t="s">
        <v>37</v>
      </c>
    </row>
    <row r="4" spans="1:8" x14ac:dyDescent="0.3">
      <c r="A4" s="2" t="s">
        <v>38</v>
      </c>
      <c r="B4" s="5">
        <v>0.3</v>
      </c>
      <c r="C4" s="4">
        <f>'Project Brief'!$B$5*B4</f>
        <v>30000000</v>
      </c>
      <c r="D4" s="4">
        <v>4500</v>
      </c>
      <c r="E4" s="2">
        <f>IFERROR(C4/D4,0)</f>
        <v>6666.666666666667</v>
      </c>
      <c r="F4" s="4">
        <f>'Project Brief'!$B$7*B4</f>
        <v>7500000</v>
      </c>
      <c r="G4" s="4">
        <f>'Project Brief'!$B$8*B4</f>
        <v>9000000</v>
      </c>
      <c r="H4" s="2" t="s">
        <v>39</v>
      </c>
    </row>
    <row r="5" spans="1:8" x14ac:dyDescent="0.3">
      <c r="A5" s="2" t="s">
        <v>40</v>
      </c>
      <c r="B5" s="5">
        <v>0.2</v>
      </c>
      <c r="C5" s="4">
        <f>'Project Brief'!$B$5*B5</f>
        <v>20000000</v>
      </c>
      <c r="D5" s="4">
        <v>3000</v>
      </c>
      <c r="E5" s="2">
        <f>IFERROR(C5/D5,0)</f>
        <v>6666.666666666667</v>
      </c>
      <c r="F5" s="4">
        <f>'Project Brief'!$B$7*B5</f>
        <v>5000000</v>
      </c>
      <c r="G5" s="4">
        <f>'Project Brief'!$B$8*B5</f>
        <v>6000000</v>
      </c>
      <c r="H5" s="2" t="s">
        <v>39</v>
      </c>
    </row>
    <row r="6" spans="1:8" x14ac:dyDescent="0.3">
      <c r="A6" s="2" t="s">
        <v>41</v>
      </c>
      <c r="B6" s="5">
        <v>0.2</v>
      </c>
      <c r="C6" s="4">
        <f>'Project Brief'!$B$5*B6</f>
        <v>20000000</v>
      </c>
      <c r="D6" s="4">
        <v>2200</v>
      </c>
      <c r="E6" s="2">
        <f>IFERROR(C6/D6,0)</f>
        <v>9090.9090909090901</v>
      </c>
      <c r="F6" s="4">
        <f>'Project Brief'!$B$7*B6</f>
        <v>5000000</v>
      </c>
      <c r="G6" s="4">
        <f>'Project Brief'!$B$8*B6</f>
        <v>6000000</v>
      </c>
      <c r="H6" s="2" t="s">
        <v>39</v>
      </c>
    </row>
    <row r="7" spans="1:8" x14ac:dyDescent="0.3">
      <c r="A7" s="2" t="s">
        <v>42</v>
      </c>
      <c r="B7" s="5">
        <v>0.15</v>
      </c>
      <c r="C7" s="4">
        <f>'Project Brief'!$B$5*B7</f>
        <v>15000000</v>
      </c>
      <c r="D7" s="4">
        <v>5000</v>
      </c>
      <c r="E7" s="2">
        <f>IFERROR(C7/D7,0)</f>
        <v>3000</v>
      </c>
      <c r="F7" s="4">
        <f>'Project Brief'!$B$7*B7</f>
        <v>3750000</v>
      </c>
      <c r="G7" s="4">
        <f>'Project Brief'!$B$8*B7</f>
        <v>4500000</v>
      </c>
      <c r="H7" s="2" t="s">
        <v>39</v>
      </c>
    </row>
    <row r="8" spans="1:8" x14ac:dyDescent="0.3">
      <c r="A8" s="2" t="s">
        <v>43</v>
      </c>
      <c r="B8" s="5">
        <v>0.15</v>
      </c>
      <c r="C8" s="4">
        <f>'Project Brief'!$B$5*B8</f>
        <v>15000000</v>
      </c>
      <c r="D8" s="4">
        <v>6000</v>
      </c>
      <c r="E8" s="2">
        <f>IFERROR(C8/D8,0)</f>
        <v>2500</v>
      </c>
      <c r="F8" s="4">
        <f>'Project Brief'!$B$7*B8</f>
        <v>3750000</v>
      </c>
      <c r="G8" s="4">
        <f>'Project Brief'!$B$8*B8</f>
        <v>4500000</v>
      </c>
      <c r="H8" s="2" t="s">
        <v>39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11" width="15" customWidth="1"/>
  </cols>
  <sheetData>
    <row r="1" spans="1:11" ht="24" x14ac:dyDescent="0.3">
      <c r="A1" s="8" t="s">
        <v>44</v>
      </c>
      <c r="B1" s="9"/>
      <c r="C1" s="9"/>
      <c r="D1" s="9"/>
      <c r="E1" s="9"/>
      <c r="F1" s="9"/>
      <c r="G1" s="9"/>
      <c r="H1" s="9"/>
      <c r="I1" s="1"/>
      <c r="J1" s="1"/>
      <c r="K1" s="1"/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6" t="s">
        <v>45</v>
      </c>
      <c r="B3" s="6" t="s">
        <v>46</v>
      </c>
      <c r="C3" s="6" t="s">
        <v>35</v>
      </c>
      <c r="D3" s="6" t="s">
        <v>33</v>
      </c>
      <c r="E3" s="6" t="s">
        <v>47</v>
      </c>
      <c r="F3" s="6" t="s">
        <v>48</v>
      </c>
      <c r="G3" s="6" t="s">
        <v>12</v>
      </c>
      <c r="H3" s="6" t="s">
        <v>49</v>
      </c>
      <c r="I3" s="6" t="s">
        <v>50</v>
      </c>
      <c r="J3" s="6" t="s">
        <v>51</v>
      </c>
      <c r="K3" s="6" t="s">
        <v>52</v>
      </c>
    </row>
    <row r="4" spans="1:11" x14ac:dyDescent="0.3">
      <c r="A4" s="2">
        <v>1</v>
      </c>
      <c r="B4" s="2" t="s">
        <v>53</v>
      </c>
      <c r="C4" s="4">
        <f>'Project Brief'!$B$7</f>
        <v>25000000</v>
      </c>
      <c r="D4" s="4">
        <f>'Project Brief'!$B$5/26</f>
        <v>3846153.846153846</v>
      </c>
      <c r="E4" s="4">
        <f t="shared" ref="E4:E29" si="0">D4</f>
        <v>3846153.846153846</v>
      </c>
      <c r="F4" s="4">
        <f t="shared" ref="F4:F29" si="1">C4+E4-D4</f>
        <v>25000000</v>
      </c>
      <c r="G4" s="4"/>
      <c r="H4" s="4"/>
      <c r="I4" s="4"/>
      <c r="J4" s="2">
        <f t="shared" ref="J4:J29" si="2">IFERROR(I4/(G4),0)</f>
        <v>0</v>
      </c>
      <c r="K4" s="2" t="s">
        <v>39</v>
      </c>
    </row>
    <row r="5" spans="1:11" x14ac:dyDescent="0.3">
      <c r="A5" s="2">
        <v>2</v>
      </c>
      <c r="B5" s="2" t="s">
        <v>53</v>
      </c>
      <c r="C5" s="4">
        <f t="shared" ref="C5:C29" si="3">F4</f>
        <v>25000000</v>
      </c>
      <c r="D5" s="4">
        <f>'Project Brief'!$B$5/26</f>
        <v>3846153.846153846</v>
      </c>
      <c r="E5" s="4">
        <f t="shared" si="0"/>
        <v>3846153.846153846</v>
      </c>
      <c r="F5" s="4">
        <f t="shared" si="1"/>
        <v>25000000</v>
      </c>
      <c r="G5" s="4"/>
      <c r="H5" s="4"/>
      <c r="I5" s="4"/>
      <c r="J5" s="2">
        <f t="shared" si="2"/>
        <v>0</v>
      </c>
      <c r="K5" s="2" t="s">
        <v>39</v>
      </c>
    </row>
    <row r="6" spans="1:11" x14ac:dyDescent="0.3">
      <c r="A6" s="2">
        <v>3</v>
      </c>
      <c r="B6" s="2" t="s">
        <v>53</v>
      </c>
      <c r="C6" s="4">
        <f t="shared" si="3"/>
        <v>25000000</v>
      </c>
      <c r="D6" s="4">
        <f>'Project Brief'!$B$5/26</f>
        <v>3846153.846153846</v>
      </c>
      <c r="E6" s="4">
        <f t="shared" si="0"/>
        <v>3846153.846153846</v>
      </c>
      <c r="F6" s="4">
        <f t="shared" si="1"/>
        <v>25000000</v>
      </c>
      <c r="G6" s="4"/>
      <c r="H6" s="4"/>
      <c r="I6" s="4"/>
      <c r="J6" s="2">
        <f t="shared" si="2"/>
        <v>0</v>
      </c>
      <c r="K6" s="2" t="s">
        <v>39</v>
      </c>
    </row>
    <row r="7" spans="1:11" x14ac:dyDescent="0.3">
      <c r="A7" s="2">
        <v>4</v>
      </c>
      <c r="B7" s="2" t="s">
        <v>53</v>
      </c>
      <c r="C7" s="4">
        <f t="shared" si="3"/>
        <v>25000000</v>
      </c>
      <c r="D7" s="4">
        <f>'Project Brief'!$B$5/26</f>
        <v>3846153.846153846</v>
      </c>
      <c r="E7" s="4">
        <f t="shared" si="0"/>
        <v>3846153.846153846</v>
      </c>
      <c r="F7" s="4">
        <f t="shared" si="1"/>
        <v>25000000</v>
      </c>
      <c r="G7" s="4"/>
      <c r="H7" s="4"/>
      <c r="I7" s="4"/>
      <c r="J7" s="2">
        <f t="shared" si="2"/>
        <v>0</v>
      </c>
      <c r="K7" s="2" t="s">
        <v>39</v>
      </c>
    </row>
    <row r="8" spans="1:11" x14ac:dyDescent="0.3">
      <c r="A8" s="2">
        <v>5</v>
      </c>
      <c r="B8" s="2" t="s">
        <v>53</v>
      </c>
      <c r="C8" s="4">
        <f t="shared" si="3"/>
        <v>25000000</v>
      </c>
      <c r="D8" s="4">
        <f>'Project Brief'!$B$5/26</f>
        <v>3846153.846153846</v>
      </c>
      <c r="E8" s="4">
        <f t="shared" si="0"/>
        <v>3846153.846153846</v>
      </c>
      <c r="F8" s="4">
        <f t="shared" si="1"/>
        <v>25000000</v>
      </c>
      <c r="G8" s="4"/>
      <c r="H8" s="4"/>
      <c r="I8" s="4"/>
      <c r="J8" s="2">
        <f t="shared" si="2"/>
        <v>0</v>
      </c>
      <c r="K8" s="2" t="s">
        <v>39</v>
      </c>
    </row>
    <row r="9" spans="1:11" x14ac:dyDescent="0.3">
      <c r="A9" s="2">
        <v>6</v>
      </c>
      <c r="B9" s="2" t="s">
        <v>53</v>
      </c>
      <c r="C9" s="4">
        <f t="shared" si="3"/>
        <v>25000000</v>
      </c>
      <c r="D9" s="4">
        <f>'Project Brief'!$B$5/26</f>
        <v>3846153.846153846</v>
      </c>
      <c r="E9" s="4">
        <f t="shared" si="0"/>
        <v>3846153.846153846</v>
      </c>
      <c r="F9" s="4">
        <f t="shared" si="1"/>
        <v>25000000</v>
      </c>
      <c r="G9" s="4"/>
      <c r="H9" s="4"/>
      <c r="I9" s="4"/>
      <c r="J9" s="2">
        <f t="shared" si="2"/>
        <v>0</v>
      </c>
      <c r="K9" s="2" t="s">
        <v>39</v>
      </c>
    </row>
    <row r="10" spans="1:11" x14ac:dyDescent="0.3">
      <c r="A10" s="2">
        <v>7</v>
      </c>
      <c r="B10" s="2" t="s">
        <v>53</v>
      </c>
      <c r="C10" s="4">
        <f t="shared" si="3"/>
        <v>25000000</v>
      </c>
      <c r="D10" s="4">
        <f>'Project Brief'!$B$5/26</f>
        <v>3846153.846153846</v>
      </c>
      <c r="E10" s="4">
        <f t="shared" si="0"/>
        <v>3846153.846153846</v>
      </c>
      <c r="F10" s="4">
        <f t="shared" si="1"/>
        <v>25000000</v>
      </c>
      <c r="G10" s="4"/>
      <c r="H10" s="4"/>
      <c r="I10" s="4"/>
      <c r="J10" s="2">
        <f t="shared" si="2"/>
        <v>0</v>
      </c>
      <c r="K10" s="2" t="s">
        <v>39</v>
      </c>
    </row>
    <row r="11" spans="1:11" x14ac:dyDescent="0.3">
      <c r="A11" s="2">
        <v>8</v>
      </c>
      <c r="B11" s="2" t="s">
        <v>53</v>
      </c>
      <c r="C11" s="4">
        <f t="shared" si="3"/>
        <v>25000000</v>
      </c>
      <c r="D11" s="4">
        <f>'Project Brief'!$B$5/26</f>
        <v>3846153.846153846</v>
      </c>
      <c r="E11" s="4">
        <f t="shared" si="0"/>
        <v>3846153.846153846</v>
      </c>
      <c r="F11" s="4">
        <f t="shared" si="1"/>
        <v>25000000</v>
      </c>
      <c r="G11" s="4"/>
      <c r="H11" s="4"/>
      <c r="I11" s="4"/>
      <c r="J11" s="2">
        <f t="shared" si="2"/>
        <v>0</v>
      </c>
      <c r="K11" s="2" t="s">
        <v>39</v>
      </c>
    </row>
    <row r="12" spans="1:11" x14ac:dyDescent="0.3">
      <c r="A12" s="2">
        <v>9</v>
      </c>
      <c r="B12" s="2" t="s">
        <v>53</v>
      </c>
      <c r="C12" s="4">
        <f t="shared" si="3"/>
        <v>25000000</v>
      </c>
      <c r="D12" s="4">
        <f>'Project Brief'!$B$5/26</f>
        <v>3846153.846153846</v>
      </c>
      <c r="E12" s="4">
        <f t="shared" si="0"/>
        <v>3846153.846153846</v>
      </c>
      <c r="F12" s="4">
        <f t="shared" si="1"/>
        <v>25000000</v>
      </c>
      <c r="G12" s="4"/>
      <c r="H12" s="4"/>
      <c r="I12" s="4"/>
      <c r="J12" s="2">
        <f t="shared" si="2"/>
        <v>0</v>
      </c>
      <c r="K12" s="2" t="s">
        <v>39</v>
      </c>
    </row>
    <row r="13" spans="1:11" x14ac:dyDescent="0.3">
      <c r="A13" s="2">
        <v>10</v>
      </c>
      <c r="B13" s="2" t="s">
        <v>53</v>
      </c>
      <c r="C13" s="4">
        <f t="shared" si="3"/>
        <v>25000000</v>
      </c>
      <c r="D13" s="4">
        <f>'Project Brief'!$B$5/26</f>
        <v>3846153.846153846</v>
      </c>
      <c r="E13" s="4">
        <f t="shared" si="0"/>
        <v>3846153.846153846</v>
      </c>
      <c r="F13" s="4">
        <f t="shared" si="1"/>
        <v>25000000</v>
      </c>
      <c r="G13" s="4"/>
      <c r="H13" s="4"/>
      <c r="I13" s="4"/>
      <c r="J13" s="2">
        <f t="shared" si="2"/>
        <v>0</v>
      </c>
      <c r="K13" s="2" t="s">
        <v>39</v>
      </c>
    </row>
    <row r="14" spans="1:11" x14ac:dyDescent="0.3">
      <c r="A14" s="2">
        <v>11</v>
      </c>
      <c r="B14" s="2" t="s">
        <v>53</v>
      </c>
      <c r="C14" s="4">
        <f t="shared" si="3"/>
        <v>25000000</v>
      </c>
      <c r="D14" s="4">
        <f>'Project Brief'!$B$5/26</f>
        <v>3846153.846153846</v>
      </c>
      <c r="E14" s="4">
        <f t="shared" si="0"/>
        <v>3846153.846153846</v>
      </c>
      <c r="F14" s="4">
        <f t="shared" si="1"/>
        <v>25000000</v>
      </c>
      <c r="G14" s="4"/>
      <c r="H14" s="4"/>
      <c r="I14" s="4"/>
      <c r="J14" s="2">
        <f t="shared" si="2"/>
        <v>0</v>
      </c>
      <c r="K14" s="2" t="s">
        <v>39</v>
      </c>
    </row>
    <row r="15" spans="1:11" x14ac:dyDescent="0.3">
      <c r="A15" s="2">
        <v>12</v>
      </c>
      <c r="B15" s="2" t="s">
        <v>53</v>
      </c>
      <c r="C15" s="4">
        <f t="shared" si="3"/>
        <v>25000000</v>
      </c>
      <c r="D15" s="4">
        <f>'Project Brief'!$B$5/26</f>
        <v>3846153.846153846</v>
      </c>
      <c r="E15" s="4">
        <f t="shared" si="0"/>
        <v>3846153.846153846</v>
      </c>
      <c r="F15" s="4">
        <f t="shared" si="1"/>
        <v>25000000</v>
      </c>
      <c r="G15" s="4"/>
      <c r="H15" s="4"/>
      <c r="I15" s="4"/>
      <c r="J15" s="2">
        <f t="shared" si="2"/>
        <v>0</v>
      </c>
      <c r="K15" s="2" t="s">
        <v>39</v>
      </c>
    </row>
    <row r="16" spans="1:11" x14ac:dyDescent="0.3">
      <c r="A16" s="2">
        <v>13</v>
      </c>
      <c r="B16" s="2" t="s">
        <v>53</v>
      </c>
      <c r="C16" s="4">
        <f t="shared" si="3"/>
        <v>25000000</v>
      </c>
      <c r="D16" s="4">
        <f>'Project Brief'!$B$5/26</f>
        <v>3846153.846153846</v>
      </c>
      <c r="E16" s="4">
        <f t="shared" si="0"/>
        <v>3846153.846153846</v>
      </c>
      <c r="F16" s="4">
        <f t="shared" si="1"/>
        <v>25000000</v>
      </c>
      <c r="G16" s="4"/>
      <c r="H16" s="4"/>
      <c r="I16" s="4"/>
      <c r="J16" s="2">
        <f t="shared" si="2"/>
        <v>0</v>
      </c>
      <c r="K16" s="2" t="s">
        <v>39</v>
      </c>
    </row>
    <row r="17" spans="1:11" x14ac:dyDescent="0.3">
      <c r="A17" s="2">
        <v>14</v>
      </c>
      <c r="B17" s="2" t="s">
        <v>53</v>
      </c>
      <c r="C17" s="4">
        <f t="shared" si="3"/>
        <v>25000000</v>
      </c>
      <c r="D17" s="4">
        <f>'Project Brief'!$B$5/26</f>
        <v>3846153.846153846</v>
      </c>
      <c r="E17" s="4">
        <f t="shared" si="0"/>
        <v>3846153.846153846</v>
      </c>
      <c r="F17" s="4">
        <f t="shared" si="1"/>
        <v>25000000</v>
      </c>
      <c r="G17" s="4"/>
      <c r="H17" s="4"/>
      <c r="I17" s="4"/>
      <c r="J17" s="2">
        <f t="shared" si="2"/>
        <v>0</v>
      </c>
      <c r="K17" s="2" t="s">
        <v>39</v>
      </c>
    </row>
    <row r="18" spans="1:11" x14ac:dyDescent="0.3">
      <c r="A18" s="2">
        <v>15</v>
      </c>
      <c r="B18" s="2" t="s">
        <v>53</v>
      </c>
      <c r="C18" s="4">
        <f t="shared" si="3"/>
        <v>25000000</v>
      </c>
      <c r="D18" s="4">
        <f>'Project Brief'!$B$5/26</f>
        <v>3846153.846153846</v>
      </c>
      <c r="E18" s="4">
        <f t="shared" si="0"/>
        <v>3846153.846153846</v>
      </c>
      <c r="F18" s="4">
        <f t="shared" si="1"/>
        <v>25000000</v>
      </c>
      <c r="G18" s="4"/>
      <c r="H18" s="4"/>
      <c r="I18" s="4"/>
      <c r="J18" s="2">
        <f t="shared" si="2"/>
        <v>0</v>
      </c>
      <c r="K18" s="2" t="s">
        <v>39</v>
      </c>
    </row>
    <row r="19" spans="1:11" x14ac:dyDescent="0.3">
      <c r="A19" s="2">
        <v>16</v>
      </c>
      <c r="B19" s="2" t="s">
        <v>53</v>
      </c>
      <c r="C19" s="4">
        <f t="shared" si="3"/>
        <v>25000000</v>
      </c>
      <c r="D19" s="4">
        <f>'Project Brief'!$B$5/26</f>
        <v>3846153.846153846</v>
      </c>
      <c r="E19" s="4">
        <f t="shared" si="0"/>
        <v>3846153.846153846</v>
      </c>
      <c r="F19" s="4">
        <f t="shared" si="1"/>
        <v>25000000</v>
      </c>
      <c r="G19" s="4"/>
      <c r="H19" s="4"/>
      <c r="I19" s="4"/>
      <c r="J19" s="2">
        <f t="shared" si="2"/>
        <v>0</v>
      </c>
      <c r="K19" s="2" t="s">
        <v>39</v>
      </c>
    </row>
    <row r="20" spans="1:11" x14ac:dyDescent="0.3">
      <c r="A20" s="2">
        <v>17</v>
      </c>
      <c r="B20" s="2" t="s">
        <v>53</v>
      </c>
      <c r="C20" s="4">
        <f t="shared" si="3"/>
        <v>25000000</v>
      </c>
      <c r="D20" s="4">
        <f>'Project Brief'!$B$5/26</f>
        <v>3846153.846153846</v>
      </c>
      <c r="E20" s="4">
        <f t="shared" si="0"/>
        <v>3846153.846153846</v>
      </c>
      <c r="F20" s="4">
        <f t="shared" si="1"/>
        <v>25000000</v>
      </c>
      <c r="G20" s="4"/>
      <c r="H20" s="4"/>
      <c r="I20" s="4"/>
      <c r="J20" s="2">
        <f t="shared" si="2"/>
        <v>0</v>
      </c>
      <c r="K20" s="2" t="s">
        <v>39</v>
      </c>
    </row>
    <row r="21" spans="1:11" x14ac:dyDescent="0.3">
      <c r="A21" s="2">
        <v>18</v>
      </c>
      <c r="B21" s="2" t="s">
        <v>53</v>
      </c>
      <c r="C21" s="4">
        <f t="shared" si="3"/>
        <v>25000000</v>
      </c>
      <c r="D21" s="4">
        <f>'Project Brief'!$B$5/26</f>
        <v>3846153.846153846</v>
      </c>
      <c r="E21" s="4">
        <f t="shared" si="0"/>
        <v>3846153.846153846</v>
      </c>
      <c r="F21" s="4">
        <f t="shared" si="1"/>
        <v>25000000</v>
      </c>
      <c r="G21" s="4"/>
      <c r="H21" s="4"/>
      <c r="I21" s="4"/>
      <c r="J21" s="2">
        <f t="shared" si="2"/>
        <v>0</v>
      </c>
      <c r="K21" s="2" t="s">
        <v>39</v>
      </c>
    </row>
    <row r="22" spans="1:11" x14ac:dyDescent="0.3">
      <c r="A22" s="2">
        <v>19</v>
      </c>
      <c r="B22" s="2" t="s">
        <v>54</v>
      </c>
      <c r="C22" s="4">
        <f t="shared" si="3"/>
        <v>25000000</v>
      </c>
      <c r="D22" s="4">
        <f>'Project Brief'!$B$5/26</f>
        <v>3846153.846153846</v>
      </c>
      <c r="E22" s="4">
        <f t="shared" si="0"/>
        <v>3846153.846153846</v>
      </c>
      <c r="F22" s="4">
        <f t="shared" si="1"/>
        <v>25000000</v>
      </c>
      <c r="G22" s="4"/>
      <c r="H22" s="4"/>
      <c r="I22" s="4"/>
      <c r="J22" s="2">
        <f t="shared" si="2"/>
        <v>0</v>
      </c>
      <c r="K22" s="2" t="s">
        <v>39</v>
      </c>
    </row>
    <row r="23" spans="1:11" x14ac:dyDescent="0.3">
      <c r="A23" s="2">
        <v>20</v>
      </c>
      <c r="B23" s="2" t="s">
        <v>54</v>
      </c>
      <c r="C23" s="4">
        <f t="shared" si="3"/>
        <v>25000000</v>
      </c>
      <c r="D23" s="4">
        <f>'Project Brief'!$B$5/26</f>
        <v>3846153.846153846</v>
      </c>
      <c r="E23" s="4">
        <f t="shared" si="0"/>
        <v>3846153.846153846</v>
      </c>
      <c r="F23" s="4">
        <f t="shared" si="1"/>
        <v>25000000</v>
      </c>
      <c r="G23" s="4"/>
      <c r="H23" s="4"/>
      <c r="I23" s="4"/>
      <c r="J23" s="2">
        <f t="shared" si="2"/>
        <v>0</v>
      </c>
      <c r="K23" s="2" t="s">
        <v>39</v>
      </c>
    </row>
    <row r="24" spans="1:11" x14ac:dyDescent="0.3">
      <c r="A24" s="2">
        <v>21</v>
      </c>
      <c r="B24" s="2" t="s">
        <v>54</v>
      </c>
      <c r="C24" s="4">
        <f t="shared" si="3"/>
        <v>25000000</v>
      </c>
      <c r="D24" s="4">
        <f>'Project Brief'!$B$5/26</f>
        <v>3846153.846153846</v>
      </c>
      <c r="E24" s="4">
        <f t="shared" si="0"/>
        <v>3846153.846153846</v>
      </c>
      <c r="F24" s="4">
        <f t="shared" si="1"/>
        <v>25000000</v>
      </c>
      <c r="G24" s="4"/>
      <c r="H24" s="4"/>
      <c r="I24" s="4"/>
      <c r="J24" s="2">
        <f t="shared" si="2"/>
        <v>0</v>
      </c>
      <c r="K24" s="2" t="s">
        <v>39</v>
      </c>
    </row>
    <row r="25" spans="1:11" x14ac:dyDescent="0.3">
      <c r="A25" s="2">
        <v>22</v>
      </c>
      <c r="B25" s="2" t="s">
        <v>54</v>
      </c>
      <c r="C25" s="4">
        <f t="shared" si="3"/>
        <v>25000000</v>
      </c>
      <c r="D25" s="4">
        <f>'Project Brief'!$B$5/26</f>
        <v>3846153.846153846</v>
      </c>
      <c r="E25" s="4">
        <f t="shared" si="0"/>
        <v>3846153.846153846</v>
      </c>
      <c r="F25" s="4">
        <f t="shared" si="1"/>
        <v>25000000</v>
      </c>
      <c r="G25" s="4"/>
      <c r="H25" s="4"/>
      <c r="I25" s="4"/>
      <c r="J25" s="2">
        <f t="shared" si="2"/>
        <v>0</v>
      </c>
      <c r="K25" s="2" t="s">
        <v>39</v>
      </c>
    </row>
    <row r="26" spans="1:11" x14ac:dyDescent="0.3">
      <c r="A26" s="2">
        <v>23</v>
      </c>
      <c r="B26" s="2" t="s">
        <v>55</v>
      </c>
      <c r="C26" s="4">
        <f t="shared" si="3"/>
        <v>25000000</v>
      </c>
      <c r="D26" s="4">
        <f>'Project Brief'!$B$5/26</f>
        <v>3846153.846153846</v>
      </c>
      <c r="E26" s="4">
        <f t="shared" si="0"/>
        <v>3846153.846153846</v>
      </c>
      <c r="F26" s="4">
        <f t="shared" si="1"/>
        <v>25000000</v>
      </c>
      <c r="G26" s="4"/>
      <c r="H26" s="4"/>
      <c r="I26" s="4"/>
      <c r="J26" s="2">
        <f t="shared" si="2"/>
        <v>0</v>
      </c>
      <c r="K26" s="2" t="s">
        <v>39</v>
      </c>
    </row>
    <row r="27" spans="1:11" x14ac:dyDescent="0.3">
      <c r="A27" s="2">
        <v>24</v>
      </c>
      <c r="B27" s="2" t="s">
        <v>55</v>
      </c>
      <c r="C27" s="4">
        <f t="shared" si="3"/>
        <v>25000000</v>
      </c>
      <c r="D27" s="4">
        <f>'Project Brief'!$B$5/26</f>
        <v>3846153.846153846</v>
      </c>
      <c r="E27" s="4">
        <f t="shared" si="0"/>
        <v>3846153.846153846</v>
      </c>
      <c r="F27" s="4">
        <f t="shared" si="1"/>
        <v>25000000</v>
      </c>
      <c r="G27" s="4"/>
      <c r="H27" s="4"/>
      <c r="I27" s="4"/>
      <c r="J27" s="2">
        <f t="shared" si="2"/>
        <v>0</v>
      </c>
      <c r="K27" s="2" t="s">
        <v>39</v>
      </c>
    </row>
    <row r="28" spans="1:11" x14ac:dyDescent="0.3">
      <c r="A28" s="2">
        <v>25</v>
      </c>
      <c r="B28" s="2" t="s">
        <v>55</v>
      </c>
      <c r="C28" s="4">
        <f t="shared" si="3"/>
        <v>25000000</v>
      </c>
      <c r="D28" s="4">
        <f>'Project Brief'!$B$5/26</f>
        <v>3846153.846153846</v>
      </c>
      <c r="E28" s="4">
        <f t="shared" si="0"/>
        <v>3846153.846153846</v>
      </c>
      <c r="F28" s="4">
        <f t="shared" si="1"/>
        <v>25000000</v>
      </c>
      <c r="G28" s="4"/>
      <c r="H28" s="4"/>
      <c r="I28" s="4"/>
      <c r="J28" s="2">
        <f t="shared" si="2"/>
        <v>0</v>
      </c>
      <c r="K28" s="2" t="s">
        <v>39</v>
      </c>
    </row>
    <row r="29" spans="1:11" x14ac:dyDescent="0.3">
      <c r="A29" s="2">
        <v>26</v>
      </c>
      <c r="B29" s="2" t="s">
        <v>55</v>
      </c>
      <c r="C29" s="4">
        <f t="shared" si="3"/>
        <v>25000000</v>
      </c>
      <c r="D29" s="4">
        <f>'Project Brief'!$B$5/26</f>
        <v>3846153.846153846</v>
      </c>
      <c r="E29" s="4">
        <f t="shared" si="0"/>
        <v>3846153.846153846</v>
      </c>
      <c r="F29" s="4">
        <f t="shared" si="1"/>
        <v>25000000</v>
      </c>
      <c r="G29" s="4"/>
      <c r="H29" s="4"/>
      <c r="I29" s="4"/>
      <c r="J29" s="2">
        <f t="shared" si="2"/>
        <v>0</v>
      </c>
      <c r="K29" s="2" t="s">
        <v>39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10" width="15" customWidth="1"/>
  </cols>
  <sheetData>
    <row r="1" spans="1:10" ht="24" x14ac:dyDescent="0.3">
      <c r="A1" s="8" t="s">
        <v>56</v>
      </c>
      <c r="B1" s="9"/>
      <c r="C1" s="9"/>
      <c r="D1" s="9"/>
      <c r="E1" s="9"/>
      <c r="F1" s="9"/>
      <c r="G1" s="9"/>
      <c r="H1" s="9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6" t="s">
        <v>9</v>
      </c>
      <c r="B3" s="6" t="s">
        <v>57</v>
      </c>
      <c r="C3" s="6" t="s">
        <v>58</v>
      </c>
      <c r="D3" s="6" t="s">
        <v>35</v>
      </c>
      <c r="E3" s="6" t="s">
        <v>59</v>
      </c>
      <c r="F3" s="6" t="s">
        <v>60</v>
      </c>
      <c r="G3" s="6" t="s">
        <v>61</v>
      </c>
      <c r="H3" s="6" t="s">
        <v>62</v>
      </c>
      <c r="I3" s="6" t="s">
        <v>63</v>
      </c>
      <c r="J3" s="6" t="s">
        <v>64</v>
      </c>
    </row>
    <row r="4" spans="1:10" x14ac:dyDescent="0.3">
      <c r="A4" s="2" t="s">
        <v>17</v>
      </c>
      <c r="B4" s="4">
        <f>'Sales Plan'!B4</f>
        <v>7000000.0000000009</v>
      </c>
      <c r="C4" s="4">
        <v>2500000</v>
      </c>
      <c r="D4" s="4">
        <v>2000000</v>
      </c>
      <c r="E4" s="4">
        <v>1000000</v>
      </c>
      <c r="F4" s="4">
        <f t="shared" ref="F4:F15" si="0">B4+C4-D4-E4</f>
        <v>6500000</v>
      </c>
      <c r="G4" s="5">
        <v>0.3</v>
      </c>
      <c r="H4" s="4">
        <f t="shared" ref="H4:H15" si="1">F4*G4</f>
        <v>1950000</v>
      </c>
      <c r="I4" s="4"/>
      <c r="J4" s="4">
        <f t="shared" ref="J4:J15" si="2">F4-I4</f>
        <v>6500000</v>
      </c>
    </row>
    <row r="5" spans="1:10" x14ac:dyDescent="0.3">
      <c r="A5" s="2" t="s">
        <v>18</v>
      </c>
      <c r="B5" s="4">
        <f>'Sales Plan'!B5</f>
        <v>7000000.0000000009</v>
      </c>
      <c r="C5" s="4">
        <v>2500000</v>
      </c>
      <c r="D5" s="4">
        <v>2000000</v>
      </c>
      <c r="E5" s="4">
        <v>1000000</v>
      </c>
      <c r="F5" s="4">
        <f t="shared" si="0"/>
        <v>6500000</v>
      </c>
      <c r="G5" s="5">
        <v>0.3</v>
      </c>
      <c r="H5" s="4">
        <f t="shared" si="1"/>
        <v>1950000</v>
      </c>
      <c r="I5" s="4"/>
      <c r="J5" s="4">
        <f t="shared" si="2"/>
        <v>6500000</v>
      </c>
    </row>
    <row r="6" spans="1:10" x14ac:dyDescent="0.3">
      <c r="A6" s="2" t="s">
        <v>19</v>
      </c>
      <c r="B6" s="4">
        <f>'Sales Plan'!B6</f>
        <v>7500000</v>
      </c>
      <c r="C6" s="4">
        <v>2500000</v>
      </c>
      <c r="D6" s="4">
        <v>2000000</v>
      </c>
      <c r="E6" s="4">
        <v>1000000</v>
      </c>
      <c r="F6" s="4">
        <f t="shared" si="0"/>
        <v>7000000</v>
      </c>
      <c r="G6" s="5">
        <v>0.3</v>
      </c>
      <c r="H6" s="4">
        <f t="shared" si="1"/>
        <v>2100000</v>
      </c>
      <c r="I6" s="4"/>
      <c r="J6" s="4">
        <f t="shared" si="2"/>
        <v>7000000</v>
      </c>
    </row>
    <row r="7" spans="1:10" x14ac:dyDescent="0.3">
      <c r="A7" s="2" t="s">
        <v>20</v>
      </c>
      <c r="B7" s="4">
        <f>'Sales Plan'!B7</f>
        <v>7500000</v>
      </c>
      <c r="C7" s="4">
        <v>2500000</v>
      </c>
      <c r="D7" s="4">
        <v>2000000</v>
      </c>
      <c r="E7" s="4">
        <v>1000000</v>
      </c>
      <c r="F7" s="4">
        <f t="shared" si="0"/>
        <v>7000000</v>
      </c>
      <c r="G7" s="5">
        <v>0.3</v>
      </c>
      <c r="H7" s="4">
        <f t="shared" si="1"/>
        <v>2100000</v>
      </c>
      <c r="I7" s="4"/>
      <c r="J7" s="4">
        <f t="shared" si="2"/>
        <v>7000000</v>
      </c>
    </row>
    <row r="8" spans="1:10" x14ac:dyDescent="0.3">
      <c r="A8" s="2" t="s">
        <v>21</v>
      </c>
      <c r="B8" s="4">
        <f>'Sales Plan'!B8</f>
        <v>8000000</v>
      </c>
      <c r="C8" s="4">
        <v>2500000</v>
      </c>
      <c r="D8" s="4">
        <v>2000000</v>
      </c>
      <c r="E8" s="4">
        <v>1000000</v>
      </c>
      <c r="F8" s="4">
        <f t="shared" si="0"/>
        <v>7500000</v>
      </c>
      <c r="G8" s="5">
        <v>0.3</v>
      </c>
      <c r="H8" s="4">
        <f t="shared" si="1"/>
        <v>2250000</v>
      </c>
      <c r="I8" s="4"/>
      <c r="J8" s="4">
        <f t="shared" si="2"/>
        <v>7500000</v>
      </c>
    </row>
    <row r="9" spans="1:10" x14ac:dyDescent="0.3">
      <c r="A9" s="2" t="s">
        <v>22</v>
      </c>
      <c r="B9" s="4">
        <f>'Sales Plan'!B9</f>
        <v>8000000</v>
      </c>
      <c r="C9" s="4">
        <v>2500000</v>
      </c>
      <c r="D9" s="4">
        <v>2000000</v>
      </c>
      <c r="E9" s="4">
        <v>1000000</v>
      </c>
      <c r="F9" s="4">
        <f t="shared" si="0"/>
        <v>7500000</v>
      </c>
      <c r="G9" s="5">
        <v>0.3</v>
      </c>
      <c r="H9" s="4">
        <f t="shared" si="1"/>
        <v>2250000</v>
      </c>
      <c r="I9" s="4"/>
      <c r="J9" s="4">
        <f t="shared" si="2"/>
        <v>7500000</v>
      </c>
    </row>
    <row r="10" spans="1:10" x14ac:dyDescent="0.3">
      <c r="A10" s="2" t="s">
        <v>23</v>
      </c>
      <c r="B10" s="4">
        <f>'Sales Plan'!B10</f>
        <v>8500000</v>
      </c>
      <c r="C10" s="4">
        <v>2500000</v>
      </c>
      <c r="D10" s="4">
        <v>2000000</v>
      </c>
      <c r="E10" s="4">
        <v>1000000</v>
      </c>
      <c r="F10" s="4">
        <f t="shared" si="0"/>
        <v>8000000</v>
      </c>
      <c r="G10" s="5">
        <v>0.3</v>
      </c>
      <c r="H10" s="4">
        <f t="shared" si="1"/>
        <v>2400000</v>
      </c>
      <c r="I10" s="4"/>
      <c r="J10" s="4">
        <f t="shared" si="2"/>
        <v>8000000</v>
      </c>
    </row>
    <row r="11" spans="1:10" x14ac:dyDescent="0.3">
      <c r="A11" s="2" t="s">
        <v>24</v>
      </c>
      <c r="B11" s="4">
        <f>'Sales Plan'!B11</f>
        <v>9000000</v>
      </c>
      <c r="C11" s="4">
        <v>2500000</v>
      </c>
      <c r="D11" s="4">
        <v>2000000</v>
      </c>
      <c r="E11" s="4">
        <v>1000000</v>
      </c>
      <c r="F11" s="4">
        <f t="shared" si="0"/>
        <v>8500000</v>
      </c>
      <c r="G11" s="5">
        <v>0.3</v>
      </c>
      <c r="H11" s="4">
        <f t="shared" si="1"/>
        <v>2550000</v>
      </c>
      <c r="I11" s="4"/>
      <c r="J11" s="4">
        <f t="shared" si="2"/>
        <v>8500000</v>
      </c>
    </row>
    <row r="12" spans="1:10" x14ac:dyDescent="0.3">
      <c r="A12" s="2" t="s">
        <v>25</v>
      </c>
      <c r="B12" s="4">
        <f>'Sales Plan'!B12</f>
        <v>10000000</v>
      </c>
      <c r="C12" s="4">
        <v>2500000</v>
      </c>
      <c r="D12" s="4">
        <v>2000000</v>
      </c>
      <c r="E12" s="4">
        <v>1000000</v>
      </c>
      <c r="F12" s="4">
        <f t="shared" si="0"/>
        <v>9500000</v>
      </c>
      <c r="G12" s="5">
        <v>0.3</v>
      </c>
      <c r="H12" s="4">
        <f t="shared" si="1"/>
        <v>2850000</v>
      </c>
      <c r="I12" s="4"/>
      <c r="J12" s="4">
        <f t="shared" si="2"/>
        <v>9500000</v>
      </c>
    </row>
    <row r="13" spans="1:10" x14ac:dyDescent="0.3">
      <c r="A13" s="2" t="s">
        <v>26</v>
      </c>
      <c r="B13" s="4">
        <f>'Sales Plan'!B13</f>
        <v>9000000</v>
      </c>
      <c r="C13" s="4">
        <v>2500000</v>
      </c>
      <c r="D13" s="4">
        <v>2000000</v>
      </c>
      <c r="E13" s="4">
        <v>1000000</v>
      </c>
      <c r="F13" s="4">
        <f t="shared" si="0"/>
        <v>8500000</v>
      </c>
      <c r="G13" s="5">
        <v>0.3</v>
      </c>
      <c r="H13" s="4">
        <f t="shared" si="1"/>
        <v>2550000</v>
      </c>
      <c r="I13" s="4"/>
      <c r="J13" s="4">
        <f t="shared" si="2"/>
        <v>8500000</v>
      </c>
    </row>
    <row r="14" spans="1:10" x14ac:dyDescent="0.3">
      <c r="A14" s="2" t="s">
        <v>27</v>
      </c>
      <c r="B14" s="4">
        <f>'Sales Plan'!B14</f>
        <v>8500000</v>
      </c>
      <c r="C14" s="4">
        <v>2500000</v>
      </c>
      <c r="D14" s="4">
        <v>2000000</v>
      </c>
      <c r="E14" s="4">
        <v>1000000</v>
      </c>
      <c r="F14" s="4">
        <f t="shared" si="0"/>
        <v>8000000</v>
      </c>
      <c r="G14" s="5">
        <v>0.3</v>
      </c>
      <c r="H14" s="4">
        <f t="shared" si="1"/>
        <v>2400000</v>
      </c>
      <c r="I14" s="4"/>
      <c r="J14" s="4">
        <f t="shared" si="2"/>
        <v>8000000</v>
      </c>
    </row>
    <row r="15" spans="1:10" x14ac:dyDescent="0.3">
      <c r="A15" s="2" t="s">
        <v>28</v>
      </c>
      <c r="B15" s="4">
        <f>'Sales Plan'!B15</f>
        <v>8500000</v>
      </c>
      <c r="C15" s="4">
        <v>2500000</v>
      </c>
      <c r="D15" s="4">
        <v>2000000</v>
      </c>
      <c r="E15" s="4">
        <v>1000000</v>
      </c>
      <c r="F15" s="4">
        <f t="shared" si="0"/>
        <v>8000000</v>
      </c>
      <c r="G15" s="5">
        <v>0.3</v>
      </c>
      <c r="H15" s="4">
        <f t="shared" si="1"/>
        <v>2400000</v>
      </c>
      <c r="I15" s="4"/>
      <c r="J15" s="4">
        <f t="shared" si="2"/>
        <v>8000000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9" width="15" customWidth="1"/>
  </cols>
  <sheetData>
    <row r="1" spans="1:9" ht="24" x14ac:dyDescent="0.3">
      <c r="A1" s="8" t="s">
        <v>65</v>
      </c>
      <c r="B1" s="9"/>
      <c r="C1" s="9"/>
      <c r="D1" s="9"/>
      <c r="E1" s="9"/>
      <c r="F1" s="9"/>
      <c r="G1" s="9"/>
      <c r="H1" s="9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6" t="s">
        <v>66</v>
      </c>
      <c r="B3" s="6" t="s">
        <v>67</v>
      </c>
      <c r="C3" s="6" t="s">
        <v>68</v>
      </c>
      <c r="D3" s="6" t="s">
        <v>69</v>
      </c>
      <c r="E3" s="6" t="s">
        <v>70</v>
      </c>
      <c r="F3" s="6" t="s">
        <v>71</v>
      </c>
      <c r="G3" s="6" t="s">
        <v>51</v>
      </c>
      <c r="H3" s="6" t="s">
        <v>72</v>
      </c>
      <c r="I3" s="6" t="s">
        <v>52</v>
      </c>
    </row>
    <row r="4" spans="1:9" x14ac:dyDescent="0.3">
      <c r="A4" s="2" t="s">
        <v>73</v>
      </c>
      <c r="B4" s="2">
        <v>500</v>
      </c>
      <c r="C4" s="2">
        <v>300</v>
      </c>
      <c r="D4" s="2">
        <v>600</v>
      </c>
      <c r="E4" s="2">
        <f t="shared" ref="E4:E13" si="0">D4/4</f>
        <v>150</v>
      </c>
      <c r="F4" s="2">
        <f t="shared" ref="F4:F13" si="1">B4+C4-D4</f>
        <v>200</v>
      </c>
      <c r="G4" s="2">
        <f t="shared" ref="G4:G13" si="2">IFERROR(F4/E4,0)</f>
        <v>1.3333333333333333</v>
      </c>
      <c r="H4" s="7">
        <f t="shared" ref="H4:H13" si="3">IFERROR(D4/(B4+C4),0)</f>
        <v>0.75</v>
      </c>
      <c r="I4" s="2" t="s">
        <v>39</v>
      </c>
    </row>
    <row r="5" spans="1:9" x14ac:dyDescent="0.3">
      <c r="A5" s="2" t="s">
        <v>74</v>
      </c>
      <c r="B5" s="2">
        <v>500</v>
      </c>
      <c r="C5" s="2">
        <v>300</v>
      </c>
      <c r="D5" s="2">
        <v>600</v>
      </c>
      <c r="E5" s="2">
        <f t="shared" si="0"/>
        <v>150</v>
      </c>
      <c r="F5" s="2">
        <f t="shared" si="1"/>
        <v>200</v>
      </c>
      <c r="G5" s="2">
        <f t="shared" si="2"/>
        <v>1.3333333333333333</v>
      </c>
      <c r="H5" s="7">
        <f t="shared" si="3"/>
        <v>0.75</v>
      </c>
      <c r="I5" s="2" t="s">
        <v>39</v>
      </c>
    </row>
    <row r="6" spans="1:9" x14ac:dyDescent="0.3">
      <c r="A6" s="2" t="s">
        <v>75</v>
      </c>
      <c r="B6" s="2">
        <v>500</v>
      </c>
      <c r="C6" s="2">
        <v>300</v>
      </c>
      <c r="D6" s="2">
        <v>600</v>
      </c>
      <c r="E6" s="2">
        <f t="shared" si="0"/>
        <v>150</v>
      </c>
      <c r="F6" s="2">
        <f t="shared" si="1"/>
        <v>200</v>
      </c>
      <c r="G6" s="2">
        <f t="shared" si="2"/>
        <v>1.3333333333333333</v>
      </c>
      <c r="H6" s="7">
        <f t="shared" si="3"/>
        <v>0.75</v>
      </c>
      <c r="I6" s="2" t="s">
        <v>39</v>
      </c>
    </row>
    <row r="7" spans="1:9" x14ac:dyDescent="0.3">
      <c r="A7" s="2" t="s">
        <v>76</v>
      </c>
      <c r="B7" s="2">
        <v>500</v>
      </c>
      <c r="C7" s="2">
        <v>300</v>
      </c>
      <c r="D7" s="2">
        <v>600</v>
      </c>
      <c r="E7" s="2">
        <f t="shared" si="0"/>
        <v>150</v>
      </c>
      <c r="F7" s="2">
        <f t="shared" si="1"/>
        <v>200</v>
      </c>
      <c r="G7" s="2">
        <f t="shared" si="2"/>
        <v>1.3333333333333333</v>
      </c>
      <c r="H7" s="7">
        <f t="shared" si="3"/>
        <v>0.75</v>
      </c>
      <c r="I7" s="2" t="s">
        <v>39</v>
      </c>
    </row>
    <row r="8" spans="1:9" x14ac:dyDescent="0.3">
      <c r="A8" s="2" t="s">
        <v>77</v>
      </c>
      <c r="B8" s="2">
        <v>500</v>
      </c>
      <c r="C8" s="2">
        <v>300</v>
      </c>
      <c r="D8" s="2">
        <v>600</v>
      </c>
      <c r="E8" s="2">
        <f t="shared" si="0"/>
        <v>150</v>
      </c>
      <c r="F8" s="2">
        <f t="shared" si="1"/>
        <v>200</v>
      </c>
      <c r="G8" s="2">
        <f t="shared" si="2"/>
        <v>1.3333333333333333</v>
      </c>
      <c r="H8" s="7">
        <f t="shared" si="3"/>
        <v>0.75</v>
      </c>
      <c r="I8" s="2" t="s">
        <v>39</v>
      </c>
    </row>
    <row r="9" spans="1:9" x14ac:dyDescent="0.3">
      <c r="A9" s="2" t="s">
        <v>78</v>
      </c>
      <c r="B9" s="2">
        <v>500</v>
      </c>
      <c r="C9" s="2">
        <v>300</v>
      </c>
      <c r="D9" s="2">
        <v>600</v>
      </c>
      <c r="E9" s="2">
        <f t="shared" si="0"/>
        <v>150</v>
      </c>
      <c r="F9" s="2">
        <f t="shared" si="1"/>
        <v>200</v>
      </c>
      <c r="G9" s="2">
        <f t="shared" si="2"/>
        <v>1.3333333333333333</v>
      </c>
      <c r="H9" s="7">
        <f t="shared" si="3"/>
        <v>0.75</v>
      </c>
      <c r="I9" s="2" t="s">
        <v>39</v>
      </c>
    </row>
    <row r="10" spans="1:9" x14ac:dyDescent="0.3">
      <c r="A10" s="2" t="s">
        <v>79</v>
      </c>
      <c r="B10" s="2">
        <v>500</v>
      </c>
      <c r="C10" s="2">
        <v>300</v>
      </c>
      <c r="D10" s="2">
        <v>600</v>
      </c>
      <c r="E10" s="2">
        <f t="shared" si="0"/>
        <v>150</v>
      </c>
      <c r="F10" s="2">
        <f t="shared" si="1"/>
        <v>200</v>
      </c>
      <c r="G10" s="2">
        <f t="shared" si="2"/>
        <v>1.3333333333333333</v>
      </c>
      <c r="H10" s="7">
        <f t="shared" si="3"/>
        <v>0.75</v>
      </c>
      <c r="I10" s="2" t="s">
        <v>39</v>
      </c>
    </row>
    <row r="11" spans="1:9" x14ac:dyDescent="0.3">
      <c r="A11" s="2" t="s">
        <v>43</v>
      </c>
      <c r="B11" s="2">
        <v>500</v>
      </c>
      <c r="C11" s="2">
        <v>300</v>
      </c>
      <c r="D11" s="2">
        <v>600</v>
      </c>
      <c r="E11" s="2">
        <f t="shared" si="0"/>
        <v>150</v>
      </c>
      <c r="F11" s="2">
        <f t="shared" si="1"/>
        <v>200</v>
      </c>
      <c r="G11" s="2">
        <f t="shared" si="2"/>
        <v>1.3333333333333333</v>
      </c>
      <c r="H11" s="7">
        <f t="shared" si="3"/>
        <v>0.75</v>
      </c>
      <c r="I11" s="2" t="s">
        <v>39</v>
      </c>
    </row>
    <row r="12" spans="1:9" x14ac:dyDescent="0.3">
      <c r="A12" s="2" t="s">
        <v>80</v>
      </c>
      <c r="B12" s="2">
        <v>500</v>
      </c>
      <c r="C12" s="2">
        <v>300</v>
      </c>
      <c r="D12" s="2">
        <v>600</v>
      </c>
      <c r="E12" s="2">
        <f t="shared" si="0"/>
        <v>150</v>
      </c>
      <c r="F12" s="2">
        <f t="shared" si="1"/>
        <v>200</v>
      </c>
      <c r="G12" s="2">
        <f t="shared" si="2"/>
        <v>1.3333333333333333</v>
      </c>
      <c r="H12" s="7">
        <f t="shared" si="3"/>
        <v>0.75</v>
      </c>
      <c r="I12" s="2" t="s">
        <v>39</v>
      </c>
    </row>
    <row r="13" spans="1:9" x14ac:dyDescent="0.3">
      <c r="A13" s="2" t="s">
        <v>81</v>
      </c>
      <c r="B13" s="2">
        <v>500</v>
      </c>
      <c r="C13" s="2">
        <v>300</v>
      </c>
      <c r="D13" s="2">
        <v>600</v>
      </c>
      <c r="E13" s="2">
        <f t="shared" si="0"/>
        <v>150</v>
      </c>
      <c r="F13" s="2">
        <f t="shared" si="1"/>
        <v>200</v>
      </c>
      <c r="G13" s="2">
        <f t="shared" si="2"/>
        <v>1.3333333333333333</v>
      </c>
      <c r="H13" s="7">
        <f t="shared" si="3"/>
        <v>0.75</v>
      </c>
      <c r="I13" s="2" t="s">
        <v>39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12" width="15" customWidth="1"/>
  </cols>
  <sheetData>
    <row r="1" spans="1:12" ht="24" x14ac:dyDescent="0.3">
      <c r="A1" s="8" t="s">
        <v>82</v>
      </c>
      <c r="B1" s="9"/>
      <c r="C1" s="9"/>
      <c r="D1" s="9"/>
      <c r="E1" s="9"/>
      <c r="F1" s="9"/>
      <c r="G1" s="9"/>
      <c r="H1" s="9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33</v>
      </c>
      <c r="L3" s="6" t="s">
        <v>37</v>
      </c>
    </row>
    <row r="4" spans="1:12" x14ac:dyDescent="0.3">
      <c r="A4" s="2" t="s">
        <v>38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4">
        <v>4500</v>
      </c>
      <c r="H4" s="2">
        <v>4</v>
      </c>
      <c r="I4" s="2">
        <v>400</v>
      </c>
      <c r="J4" s="2">
        <f t="shared" ref="J4:J9" si="0">IFERROR(I4/H4,0)</f>
        <v>100</v>
      </c>
      <c r="K4" s="4">
        <f t="shared" ref="K4:K9" si="1">G4*I4</f>
        <v>1800000</v>
      </c>
      <c r="L4" s="2" t="s">
        <v>97</v>
      </c>
    </row>
    <row r="5" spans="1:12" x14ac:dyDescent="0.3">
      <c r="A5" s="2" t="s">
        <v>38</v>
      </c>
      <c r="B5" s="2" t="s">
        <v>98</v>
      </c>
      <c r="C5" s="2" t="s">
        <v>99</v>
      </c>
      <c r="D5" s="2" t="s">
        <v>94</v>
      </c>
      <c r="E5" s="2" t="s">
        <v>100</v>
      </c>
      <c r="F5" s="2" t="s">
        <v>96</v>
      </c>
      <c r="G5" s="4">
        <v>5000</v>
      </c>
      <c r="H5" s="2">
        <v>4</v>
      </c>
      <c r="I5" s="2">
        <v>320</v>
      </c>
      <c r="J5" s="2">
        <f t="shared" si="0"/>
        <v>80</v>
      </c>
      <c r="K5" s="4">
        <f t="shared" si="1"/>
        <v>1600000</v>
      </c>
      <c r="L5" s="2" t="s">
        <v>97</v>
      </c>
    </row>
    <row r="6" spans="1:12" x14ac:dyDescent="0.3">
      <c r="A6" s="2" t="s">
        <v>40</v>
      </c>
      <c r="B6" s="2" t="s">
        <v>101</v>
      </c>
      <c r="C6" s="2" t="s">
        <v>102</v>
      </c>
      <c r="D6" s="2" t="s">
        <v>94</v>
      </c>
      <c r="E6" s="2" t="s">
        <v>103</v>
      </c>
      <c r="F6" s="2" t="s">
        <v>96</v>
      </c>
      <c r="G6" s="4">
        <v>3000</v>
      </c>
      <c r="H6" s="2">
        <v>3</v>
      </c>
      <c r="I6" s="2">
        <v>300</v>
      </c>
      <c r="J6" s="2">
        <f t="shared" si="0"/>
        <v>100</v>
      </c>
      <c r="K6" s="4">
        <f t="shared" si="1"/>
        <v>900000</v>
      </c>
      <c r="L6" s="2" t="s">
        <v>104</v>
      </c>
    </row>
    <row r="7" spans="1:12" x14ac:dyDescent="0.3">
      <c r="A7" s="2" t="s">
        <v>41</v>
      </c>
      <c r="B7" s="2" t="s">
        <v>101</v>
      </c>
      <c r="C7" s="2" t="s">
        <v>105</v>
      </c>
      <c r="D7" s="2" t="s">
        <v>94</v>
      </c>
      <c r="E7" s="2" t="s">
        <v>95</v>
      </c>
      <c r="F7" s="2" t="s">
        <v>96</v>
      </c>
      <c r="G7" s="4">
        <v>2200</v>
      </c>
      <c r="H7" s="2">
        <v>3</v>
      </c>
      <c r="I7" s="2">
        <v>360</v>
      </c>
      <c r="J7" s="2">
        <f t="shared" si="0"/>
        <v>120</v>
      </c>
      <c r="K7" s="4">
        <f t="shared" si="1"/>
        <v>792000</v>
      </c>
      <c r="L7" s="2" t="s">
        <v>104</v>
      </c>
    </row>
    <row r="8" spans="1:12" x14ac:dyDescent="0.3">
      <c r="A8" s="2" t="s">
        <v>42</v>
      </c>
      <c r="B8" s="2" t="s">
        <v>79</v>
      </c>
      <c r="C8" s="2" t="s">
        <v>106</v>
      </c>
      <c r="D8" s="2" t="s">
        <v>94</v>
      </c>
      <c r="E8" s="2" t="s">
        <v>107</v>
      </c>
      <c r="F8" s="2" t="s">
        <v>108</v>
      </c>
      <c r="G8" s="4">
        <v>5000</v>
      </c>
      <c r="H8" s="2">
        <v>3</v>
      </c>
      <c r="I8" s="2">
        <v>240</v>
      </c>
      <c r="J8" s="2">
        <f t="shared" si="0"/>
        <v>80</v>
      </c>
      <c r="K8" s="4">
        <f t="shared" si="1"/>
        <v>1200000</v>
      </c>
      <c r="L8" s="2" t="s">
        <v>109</v>
      </c>
    </row>
    <row r="9" spans="1:12" x14ac:dyDescent="0.3">
      <c r="A9" s="2" t="s">
        <v>43</v>
      </c>
      <c r="B9" s="2" t="s">
        <v>110</v>
      </c>
      <c r="C9" s="2" t="s">
        <v>111</v>
      </c>
      <c r="D9" s="2" t="s">
        <v>94</v>
      </c>
      <c r="E9" s="2" t="s">
        <v>112</v>
      </c>
      <c r="F9" s="2" t="s">
        <v>108</v>
      </c>
      <c r="G9" s="4">
        <v>6000</v>
      </c>
      <c r="H9" s="2">
        <v>3</v>
      </c>
      <c r="I9" s="2">
        <v>180</v>
      </c>
      <c r="J9" s="2">
        <f t="shared" si="0"/>
        <v>60</v>
      </c>
      <c r="K9" s="4">
        <f t="shared" si="1"/>
        <v>1080000</v>
      </c>
      <c r="L9" s="2" t="s">
        <v>113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14" width="15" customWidth="1"/>
  </cols>
  <sheetData>
    <row r="1" spans="1:14" ht="24" x14ac:dyDescent="0.3">
      <c r="A1" s="8" t="s">
        <v>114</v>
      </c>
      <c r="B1" s="9"/>
      <c r="C1" s="9"/>
      <c r="D1" s="9"/>
      <c r="E1" s="9"/>
      <c r="F1" s="9"/>
      <c r="G1" s="9"/>
      <c r="H1" s="9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6" t="s">
        <v>31</v>
      </c>
      <c r="B3" s="6" t="s">
        <v>115</v>
      </c>
      <c r="C3" s="6" t="s">
        <v>116</v>
      </c>
      <c r="D3" s="6" t="s">
        <v>117</v>
      </c>
      <c r="E3" s="6" t="s">
        <v>118</v>
      </c>
      <c r="F3" s="6" t="s">
        <v>119</v>
      </c>
      <c r="G3" s="6" t="s">
        <v>120</v>
      </c>
      <c r="H3" s="6" t="s">
        <v>121</v>
      </c>
      <c r="I3" s="6" t="s">
        <v>122</v>
      </c>
      <c r="J3" s="6" t="s">
        <v>123</v>
      </c>
      <c r="K3" s="6" t="s">
        <v>124</v>
      </c>
      <c r="L3" s="6" t="s">
        <v>125</v>
      </c>
      <c r="M3" s="6" t="s">
        <v>126</v>
      </c>
      <c r="N3" s="6" t="s">
        <v>127</v>
      </c>
    </row>
    <row r="4" spans="1:14" x14ac:dyDescent="0.3">
      <c r="A4" s="2" t="s">
        <v>128</v>
      </c>
      <c r="B4" s="5">
        <v>0.05</v>
      </c>
      <c r="C4" s="5">
        <v>0.1</v>
      </c>
      <c r="D4" s="5">
        <v>0.25</v>
      </c>
      <c r="E4" s="5">
        <v>0.3</v>
      </c>
      <c r="F4" s="5">
        <v>0.22</v>
      </c>
      <c r="G4" s="5">
        <v>0.08</v>
      </c>
      <c r="H4" s="2">
        <v>1000</v>
      </c>
      <c r="I4" s="2">
        <f>H4*B4</f>
        <v>50</v>
      </c>
      <c r="J4" s="2">
        <f>H4*C4</f>
        <v>100</v>
      </c>
      <c r="K4" s="2">
        <f>H4*D4</f>
        <v>250</v>
      </c>
      <c r="L4" s="2">
        <f>H4*E4</f>
        <v>300</v>
      </c>
      <c r="M4" s="2">
        <f>H4*F4</f>
        <v>220</v>
      </c>
      <c r="N4" s="2">
        <f>H4*G4</f>
        <v>80</v>
      </c>
    </row>
    <row r="5" spans="1:14" x14ac:dyDescent="0.3">
      <c r="A5" s="2" t="s">
        <v>75</v>
      </c>
      <c r="B5" s="5">
        <v>0.03</v>
      </c>
      <c r="C5" s="5">
        <v>0.08</v>
      </c>
      <c r="D5" s="5">
        <v>0.27</v>
      </c>
      <c r="E5" s="5">
        <v>0.32</v>
      </c>
      <c r="F5" s="5">
        <v>0.22</v>
      </c>
      <c r="G5" s="5">
        <v>0.08</v>
      </c>
      <c r="H5" s="2">
        <v>800</v>
      </c>
      <c r="I5" s="2">
        <f>H5*B5</f>
        <v>24</v>
      </c>
      <c r="J5" s="2">
        <f>H5*C5</f>
        <v>64</v>
      </c>
      <c r="K5" s="2">
        <f>H5*D5</f>
        <v>216</v>
      </c>
      <c r="L5" s="2">
        <f>H5*E5</f>
        <v>256</v>
      </c>
      <c r="M5" s="2">
        <f>H5*F5</f>
        <v>176</v>
      </c>
      <c r="N5" s="2">
        <f>H5*G5</f>
        <v>64</v>
      </c>
    </row>
    <row r="6" spans="1:14" x14ac:dyDescent="0.3">
      <c r="A6" s="2" t="s">
        <v>129</v>
      </c>
      <c r="B6" s="5">
        <v>0.02</v>
      </c>
      <c r="C6" s="5">
        <v>0.08</v>
      </c>
      <c r="D6" s="5">
        <v>0.28000000000000003</v>
      </c>
      <c r="E6" s="5">
        <v>0.32</v>
      </c>
      <c r="F6" s="5">
        <v>0.22</v>
      </c>
      <c r="G6" s="5">
        <v>0.08</v>
      </c>
      <c r="H6" s="2">
        <v>900</v>
      </c>
      <c r="I6" s="2">
        <f>H6*B6</f>
        <v>18</v>
      </c>
      <c r="J6" s="2">
        <f>H6*C6</f>
        <v>72</v>
      </c>
      <c r="K6" s="2">
        <f>H6*D6</f>
        <v>252.00000000000003</v>
      </c>
      <c r="L6" s="2">
        <f>H6*E6</f>
        <v>288</v>
      </c>
      <c r="M6" s="2">
        <f>H6*F6</f>
        <v>198</v>
      </c>
      <c r="N6" s="2">
        <f>H6*G6</f>
        <v>72</v>
      </c>
    </row>
    <row r="7" spans="1:14" x14ac:dyDescent="0.3">
      <c r="A7" s="2" t="s">
        <v>78</v>
      </c>
      <c r="B7" s="5">
        <v>0</v>
      </c>
      <c r="C7" s="5">
        <v>0.08</v>
      </c>
      <c r="D7" s="5">
        <v>0.25</v>
      </c>
      <c r="E7" s="5">
        <v>0.32</v>
      </c>
      <c r="F7" s="5">
        <v>0.25</v>
      </c>
      <c r="G7" s="5">
        <v>0.1</v>
      </c>
      <c r="H7" s="2">
        <v>600</v>
      </c>
      <c r="I7" s="2">
        <f>H7*B7</f>
        <v>0</v>
      </c>
      <c r="J7" s="2">
        <f>H7*C7</f>
        <v>48</v>
      </c>
      <c r="K7" s="2">
        <f>H7*D7</f>
        <v>150</v>
      </c>
      <c r="L7" s="2">
        <f>H7*E7</f>
        <v>192</v>
      </c>
      <c r="M7" s="2">
        <f>H7*F7</f>
        <v>150</v>
      </c>
      <c r="N7" s="2">
        <f>H7*G7</f>
        <v>60</v>
      </c>
    </row>
    <row r="8" spans="1:14" x14ac:dyDescent="0.3">
      <c r="A8" s="2" t="s">
        <v>43</v>
      </c>
      <c r="B8" s="5">
        <v>0</v>
      </c>
      <c r="C8" s="5">
        <v>0.08</v>
      </c>
      <c r="D8" s="5">
        <v>0.25</v>
      </c>
      <c r="E8" s="5">
        <v>0.32</v>
      </c>
      <c r="F8" s="5">
        <v>0.25</v>
      </c>
      <c r="G8" s="5">
        <v>0.1</v>
      </c>
      <c r="H8" s="2">
        <v>500</v>
      </c>
      <c r="I8" s="2">
        <f>H8*B8</f>
        <v>0</v>
      </c>
      <c r="J8" s="2">
        <f>H8*C8</f>
        <v>40</v>
      </c>
      <c r="K8" s="2">
        <f>H8*D8</f>
        <v>125</v>
      </c>
      <c r="L8" s="2">
        <f>H8*E8</f>
        <v>160</v>
      </c>
      <c r="M8" s="2">
        <f>H8*F8</f>
        <v>125</v>
      </c>
      <c r="N8" s="2">
        <f>H8*G8</f>
        <v>50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8" width="15" customWidth="1"/>
  </cols>
  <sheetData>
    <row r="1" spans="1:8" ht="24" x14ac:dyDescent="0.3">
      <c r="A1" s="8" t="s">
        <v>130</v>
      </c>
      <c r="B1" s="9"/>
      <c r="C1" s="9"/>
      <c r="D1" s="9"/>
      <c r="E1" s="9"/>
      <c r="F1" s="9"/>
      <c r="G1" s="9"/>
      <c r="H1" s="9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3" t="s">
        <v>131</v>
      </c>
      <c r="B4" s="4">
        <f>'Project Brief'!B5</f>
        <v>100000000</v>
      </c>
      <c r="C4" s="2"/>
      <c r="D4" s="2"/>
      <c r="E4" s="2"/>
      <c r="F4" s="2"/>
      <c r="G4" s="2"/>
      <c r="H4" s="2"/>
    </row>
    <row r="5" spans="1:8" x14ac:dyDescent="0.3">
      <c r="A5" s="3" t="s">
        <v>4</v>
      </c>
      <c r="B5" s="5">
        <f>'Project Brief'!B6</f>
        <v>0.6</v>
      </c>
      <c r="C5" s="2"/>
      <c r="D5" s="2"/>
      <c r="E5" s="2"/>
      <c r="F5" s="2"/>
      <c r="G5" s="2"/>
      <c r="H5" s="2"/>
    </row>
    <row r="6" spans="1:8" x14ac:dyDescent="0.3">
      <c r="A6" s="3" t="s">
        <v>132</v>
      </c>
      <c r="B6" s="4">
        <f>B4*B5</f>
        <v>60000000</v>
      </c>
      <c r="C6" s="2"/>
      <c r="D6" s="2"/>
      <c r="E6" s="2"/>
      <c r="F6" s="2"/>
      <c r="G6" s="2"/>
      <c r="H6" s="2"/>
    </row>
    <row r="7" spans="1:8" x14ac:dyDescent="0.3">
      <c r="A7" s="3" t="s">
        <v>133</v>
      </c>
      <c r="B7" s="4">
        <f>B4-B6</f>
        <v>40000000</v>
      </c>
      <c r="C7" s="2"/>
      <c r="D7" s="2"/>
      <c r="E7" s="2"/>
      <c r="F7" s="2"/>
      <c r="G7" s="2"/>
      <c r="H7" s="2"/>
    </row>
    <row r="8" spans="1:8" x14ac:dyDescent="0.3">
      <c r="A8" s="3" t="s">
        <v>134</v>
      </c>
      <c r="B8" s="4">
        <f>'Project Brief'!B7</f>
        <v>25000000</v>
      </c>
      <c r="C8" s="2"/>
      <c r="D8" s="2"/>
      <c r="E8" s="2"/>
      <c r="F8" s="2"/>
      <c r="G8" s="2"/>
      <c r="H8" s="2"/>
    </row>
    <row r="9" spans="1:8" x14ac:dyDescent="0.3">
      <c r="A9" s="3" t="s">
        <v>135</v>
      </c>
      <c r="B9" s="4">
        <f>'Project Brief'!B8</f>
        <v>30000000</v>
      </c>
      <c r="C9" s="2"/>
      <c r="D9" s="2"/>
      <c r="E9" s="2"/>
      <c r="F9" s="2"/>
      <c r="G9" s="2"/>
      <c r="H9" s="2"/>
    </row>
    <row r="10" spans="1:8" x14ac:dyDescent="0.3">
      <c r="A10" s="3" t="s">
        <v>136</v>
      </c>
      <c r="B10" s="2">
        <f>B9-B8</f>
        <v>5000000</v>
      </c>
      <c r="C10" s="2"/>
      <c r="D10" s="2"/>
      <c r="E10" s="2"/>
      <c r="F10" s="2"/>
      <c r="G10" s="2"/>
      <c r="H10" s="2"/>
    </row>
    <row r="11" spans="1:8" x14ac:dyDescent="0.3">
      <c r="A11" s="3" t="s">
        <v>137</v>
      </c>
      <c r="B11" s="2" t="s">
        <v>138</v>
      </c>
      <c r="C11" s="2"/>
      <c r="D11" s="2"/>
      <c r="E11" s="2"/>
      <c r="F11" s="2"/>
      <c r="G11" s="2"/>
      <c r="H11" s="2"/>
    </row>
    <row r="12" spans="1:8" x14ac:dyDescent="0.3">
      <c r="A12" s="3" t="s">
        <v>139</v>
      </c>
      <c r="B12" s="2"/>
      <c r="C12" s="2"/>
      <c r="D12" s="2"/>
      <c r="E12" s="2"/>
      <c r="F12" s="2"/>
      <c r="G12" s="2"/>
      <c r="H12" s="2"/>
    </row>
    <row r="13" spans="1:8" x14ac:dyDescent="0.3">
      <c r="A13" s="3" t="s">
        <v>140</v>
      </c>
      <c r="B13" s="2"/>
      <c r="C13" s="2"/>
      <c r="D13" s="2"/>
      <c r="E13" s="2"/>
      <c r="F13" s="2"/>
      <c r="G13" s="2"/>
      <c r="H13" s="2"/>
    </row>
    <row r="14" spans="1:8" x14ac:dyDescent="0.3">
      <c r="A14" s="3" t="s">
        <v>141</v>
      </c>
      <c r="B14" s="2"/>
      <c r="C14" s="2"/>
      <c r="D14" s="2"/>
      <c r="E14" s="2"/>
      <c r="F14" s="2"/>
      <c r="G14" s="2"/>
      <c r="H14" s="2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pane ySplit="3" topLeftCell="A4" activePane="bottomLeft" state="frozen"/>
      <selection pane="bottomLeft"/>
    </sheetView>
  </sheetViews>
  <sheetFormatPr defaultRowHeight="16.2" x14ac:dyDescent="0.3"/>
  <cols>
    <col min="1" max="8" width="15" customWidth="1"/>
  </cols>
  <sheetData>
    <row r="1" spans="1:8" ht="24" x14ac:dyDescent="0.3">
      <c r="A1" s="8" t="s">
        <v>142</v>
      </c>
      <c r="B1" s="9"/>
      <c r="C1" s="9"/>
      <c r="D1" s="9"/>
      <c r="E1" s="9"/>
      <c r="F1" s="9"/>
      <c r="G1" s="9"/>
      <c r="H1" s="9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6" t="s">
        <v>143</v>
      </c>
      <c r="B3" s="6" t="s">
        <v>144</v>
      </c>
      <c r="C3" s="6" t="s">
        <v>145</v>
      </c>
      <c r="D3" s="6"/>
      <c r="E3" s="6"/>
      <c r="F3" s="6"/>
      <c r="G3" s="6"/>
      <c r="H3" s="6"/>
    </row>
    <row r="4" spans="1:8" x14ac:dyDescent="0.3">
      <c r="A4" s="2" t="s">
        <v>146</v>
      </c>
      <c r="B4" s="2" t="s">
        <v>147</v>
      </c>
      <c r="C4" s="2" t="s">
        <v>148</v>
      </c>
      <c r="D4" s="2"/>
      <c r="E4" s="2"/>
      <c r="F4" s="2"/>
      <c r="G4" s="2"/>
      <c r="H4" s="2"/>
    </row>
    <row r="5" spans="1:8" x14ac:dyDescent="0.3">
      <c r="A5" s="2" t="s">
        <v>149</v>
      </c>
      <c r="B5" s="2" t="s">
        <v>150</v>
      </c>
      <c r="C5" s="2" t="s">
        <v>151</v>
      </c>
      <c r="D5" s="2"/>
      <c r="E5" s="2"/>
      <c r="F5" s="2"/>
      <c r="G5" s="2"/>
      <c r="H5" s="2"/>
    </row>
    <row r="6" spans="1:8" x14ac:dyDescent="0.3">
      <c r="A6" s="2" t="s">
        <v>152</v>
      </c>
      <c r="B6" s="2" t="s">
        <v>153</v>
      </c>
      <c r="C6" s="2" t="s">
        <v>154</v>
      </c>
      <c r="D6" s="2"/>
      <c r="E6" s="2"/>
      <c r="F6" s="2"/>
      <c r="G6" s="2"/>
      <c r="H6" s="2"/>
    </row>
    <row r="7" spans="1:8" x14ac:dyDescent="0.3">
      <c r="A7" s="2" t="s">
        <v>155</v>
      </c>
      <c r="B7" s="2" t="s">
        <v>156</v>
      </c>
      <c r="C7" s="2" t="s">
        <v>157</v>
      </c>
      <c r="D7" s="2"/>
      <c r="E7" s="2"/>
      <c r="F7" s="2"/>
      <c r="G7" s="2"/>
      <c r="H7" s="2"/>
    </row>
    <row r="8" spans="1:8" x14ac:dyDescent="0.3">
      <c r="A8" s="2" t="s">
        <v>158</v>
      </c>
      <c r="B8" s="2" t="s">
        <v>159</v>
      </c>
      <c r="C8" s="2" t="s">
        <v>160</v>
      </c>
      <c r="D8" s="2"/>
      <c r="E8" s="2"/>
      <c r="F8" s="2"/>
      <c r="G8" s="2"/>
      <c r="H8" s="2"/>
    </row>
    <row r="9" spans="1:8" x14ac:dyDescent="0.3">
      <c r="A9" s="2" t="s">
        <v>161</v>
      </c>
      <c r="B9" s="2" t="s">
        <v>162</v>
      </c>
      <c r="C9" s="2" t="s">
        <v>163</v>
      </c>
      <c r="D9" s="2"/>
      <c r="E9" s="2"/>
      <c r="F9" s="2"/>
      <c r="G9" s="2"/>
      <c r="H9" s="2"/>
    </row>
    <row r="10" spans="1:8" x14ac:dyDescent="0.3">
      <c r="A10" s="2" t="s">
        <v>164</v>
      </c>
      <c r="B10" s="2" t="s">
        <v>165</v>
      </c>
      <c r="C10" s="2" t="s">
        <v>166</v>
      </c>
      <c r="D10" s="2"/>
      <c r="E10" s="2"/>
      <c r="F10" s="2"/>
      <c r="G10" s="2"/>
      <c r="H10" s="2"/>
    </row>
    <row r="11" spans="1:8" x14ac:dyDescent="0.3">
      <c r="A11" s="2" t="s">
        <v>167</v>
      </c>
      <c r="B11" s="2" t="s">
        <v>130</v>
      </c>
      <c r="C11" s="2" t="s">
        <v>168</v>
      </c>
      <c r="D11" s="2"/>
      <c r="E11" s="2"/>
      <c r="F11" s="2"/>
      <c r="G11" s="2"/>
      <c r="H11" s="2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Brief</vt:lpstr>
      <vt:lpstr>Sales Plan</vt:lpstr>
      <vt:lpstr>Category Plan</vt:lpstr>
      <vt:lpstr>26 Week WSSI</vt:lpstr>
      <vt:lpstr>OTB</vt:lpstr>
      <vt:lpstr>ROS WOS</vt:lpstr>
      <vt:lpstr>Assortment</vt:lpstr>
      <vt:lpstr>Size Curve</vt:lpstr>
      <vt:lpstr>Management Summary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2026-09-22T10:33:09Z</dcterms:created>
  <dcterms:modified xsi:type="dcterms:W3CDTF">2026-09-22T10:33:48Z</dcterms:modified>
</cp:coreProperties>
</file>